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utk\UGP-ML-x-Catalysis\data\raw\"/>
    </mc:Choice>
  </mc:AlternateContent>
  <xr:revisionPtr revIDLastSave="0" documentId="13_ncr:1_{24BB09FC-7179-4923-9470-BA508EA4E0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7" i="1" l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J156" i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I154" i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J81" i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I81" i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</calcChain>
</file>

<file path=xl/sharedStrings.xml><?xml version="1.0" encoding="utf-8"?>
<sst xmlns="http://schemas.openxmlformats.org/spreadsheetml/2006/main" count="38" uniqueCount="31">
  <si>
    <t>catalyst_label</t>
  </si>
  <si>
    <t>metal</t>
  </si>
  <si>
    <t>loading_wt%</t>
  </si>
  <si>
    <t>support</t>
  </si>
  <si>
    <t>temp (°C)</t>
  </si>
  <si>
    <t>pressure (bar)</t>
  </si>
  <si>
    <t>CH4_conv_initial (%)</t>
  </si>
  <si>
    <t>CH4_conv_final (%)</t>
  </si>
  <si>
    <t>Time (min)</t>
  </si>
  <si>
    <t>H2 yield  (%)</t>
  </si>
  <si>
    <t>deactivation_rate (%/h)</t>
  </si>
  <si>
    <t>coke_rate (wt%/h)</t>
  </si>
  <si>
    <t>BET Surface Area (m^2/g)</t>
  </si>
  <si>
    <t>Pore Vol (cc/g)</t>
  </si>
  <si>
    <t>Pore Dia (nm)</t>
  </si>
  <si>
    <t>15Fe/CeZrO2</t>
  </si>
  <si>
    <t>Fe</t>
  </si>
  <si>
    <t>CeZrO2</t>
  </si>
  <si>
    <t>N/A</t>
  </si>
  <si>
    <t>15Fe-5Co/CeZrO2</t>
  </si>
  <si>
    <t>Fe-Co</t>
  </si>
  <si>
    <t>15 (Fe), 5 (Co)</t>
  </si>
  <si>
    <t>15Fe-5Mo/CeZrO2</t>
  </si>
  <si>
    <t>Fe-Mo</t>
  </si>
  <si>
    <t>15 (Fe), 5 (Mo)</t>
  </si>
  <si>
    <t>20%Fe/ZrO₂ (%)</t>
  </si>
  <si>
    <t>ZrO₂</t>
  </si>
  <si>
    <t>20%Fe/La₂O₃–ZrO₂ (%)</t>
  </si>
  <si>
    <t>La₂O₃–ZrO₂</t>
  </si>
  <si>
    <t>20%Fe/WO₃–ZrO₂</t>
  </si>
  <si>
    <t>WO₃–ZrO₂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</si>
</sst>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65"/>
  <sheetViews>
    <sheetView tabSelected="1" topLeftCell="A317" workbookViewId="0">
      <selection activeCell="I226" sqref="A226:XFD226"/>
    </sheetView>
  </sheetViews>
  <sheetFormatPr defaultColWidth="12.5703125" defaultRowHeight="15.75" customHeight="1" x14ac:dyDescent="0.2"/>
  <cols>
    <col min="1" max="1" width="21.7109375" customWidth="1"/>
    <col min="6" max="7" width="17.5703125" customWidth="1"/>
    <col min="8" max="8" width="21.42578125" customWidth="1"/>
    <col min="9" max="9" width="20.140625" customWidth="1"/>
    <col min="10" max="10" width="23" customWidth="1"/>
    <col min="11" max="11" width="25.42578125" customWidth="1"/>
    <col min="12" max="12" width="21" customWidth="1"/>
    <col min="13" max="13" width="24.28515625" customWidth="1"/>
    <col min="14" max="14" width="16.140625" customWidth="1"/>
    <col min="15" max="15" width="15.42578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6" t="s">
        <v>15</v>
      </c>
      <c r="B2" s="3" t="s">
        <v>16</v>
      </c>
      <c r="C2" s="3">
        <v>15</v>
      </c>
      <c r="D2" s="3" t="s">
        <v>17</v>
      </c>
      <c r="E2" s="3">
        <v>700</v>
      </c>
      <c r="F2" s="3" t="s">
        <v>18</v>
      </c>
      <c r="G2" s="3">
        <v>85</v>
      </c>
      <c r="H2" s="3">
        <v>36</v>
      </c>
      <c r="I2" s="2">
        <v>0</v>
      </c>
      <c r="J2" s="2">
        <v>83</v>
      </c>
      <c r="K2" s="3">
        <v>23.52</v>
      </c>
      <c r="L2" s="3">
        <v>3.91</v>
      </c>
      <c r="M2" s="3">
        <v>13.03</v>
      </c>
      <c r="N2" s="3">
        <v>0.15</v>
      </c>
      <c r="O2" s="3">
        <v>3.81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/>
      <c r="B3" s="4"/>
      <c r="C3" s="4"/>
      <c r="D3" s="4"/>
      <c r="E3" s="4"/>
      <c r="F3" s="4"/>
      <c r="G3" s="4"/>
      <c r="H3" s="4"/>
      <c r="I3" s="2">
        <v>5</v>
      </c>
      <c r="J3" s="2">
        <v>80</v>
      </c>
      <c r="K3" s="4"/>
      <c r="L3" s="4"/>
      <c r="M3" s="4"/>
      <c r="N3" s="4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"/>
      <c r="B4" s="4"/>
      <c r="C4" s="4"/>
      <c r="D4" s="4"/>
      <c r="E4" s="4"/>
      <c r="F4" s="4"/>
      <c r="G4" s="4"/>
      <c r="H4" s="4"/>
      <c r="I4" s="2">
        <v>10</v>
      </c>
      <c r="J4" s="2">
        <v>75</v>
      </c>
      <c r="K4" s="4"/>
      <c r="L4" s="4"/>
      <c r="M4" s="4"/>
      <c r="N4" s="4"/>
      <c r="O4" s="4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"/>
      <c r="B5" s="4"/>
      <c r="C5" s="4"/>
      <c r="D5" s="4"/>
      <c r="E5" s="4"/>
      <c r="F5" s="4"/>
      <c r="G5" s="4"/>
      <c r="H5" s="4"/>
      <c r="I5" s="2">
        <v>15</v>
      </c>
      <c r="J5" s="2">
        <v>68</v>
      </c>
      <c r="K5" s="4"/>
      <c r="L5" s="4"/>
      <c r="M5" s="4"/>
      <c r="N5" s="4"/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"/>
      <c r="B6" s="4"/>
      <c r="C6" s="4"/>
      <c r="D6" s="4"/>
      <c r="E6" s="4"/>
      <c r="F6" s="4"/>
      <c r="G6" s="4"/>
      <c r="H6" s="4"/>
      <c r="I6" s="2">
        <v>20</v>
      </c>
      <c r="J6" s="2">
        <v>60</v>
      </c>
      <c r="K6" s="4"/>
      <c r="L6" s="4"/>
      <c r="M6" s="4"/>
      <c r="N6" s="4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"/>
      <c r="B7" s="4"/>
      <c r="C7" s="4"/>
      <c r="D7" s="4"/>
      <c r="E7" s="4"/>
      <c r="F7" s="4"/>
      <c r="G7" s="4"/>
      <c r="H7" s="4"/>
      <c r="I7" s="2">
        <v>25</v>
      </c>
      <c r="J7" s="2">
        <v>55</v>
      </c>
      <c r="K7" s="4"/>
      <c r="L7" s="4"/>
      <c r="M7" s="4"/>
      <c r="N7" s="4"/>
      <c r="O7" s="4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"/>
      <c r="B8" s="4"/>
      <c r="C8" s="4"/>
      <c r="D8" s="4"/>
      <c r="E8" s="4"/>
      <c r="F8" s="4"/>
      <c r="G8" s="4"/>
      <c r="H8" s="4"/>
      <c r="I8" s="2">
        <v>30</v>
      </c>
      <c r="J8" s="2">
        <v>51</v>
      </c>
      <c r="K8" s="4"/>
      <c r="L8" s="4"/>
      <c r="M8" s="4"/>
      <c r="N8" s="4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"/>
      <c r="B9" s="4"/>
      <c r="C9" s="4"/>
      <c r="D9" s="4"/>
      <c r="E9" s="4"/>
      <c r="F9" s="4"/>
      <c r="G9" s="4"/>
      <c r="H9" s="4"/>
      <c r="I9" s="2">
        <v>35</v>
      </c>
      <c r="J9" s="2">
        <v>48</v>
      </c>
      <c r="K9" s="4"/>
      <c r="L9" s="4"/>
      <c r="M9" s="4"/>
      <c r="N9" s="4"/>
      <c r="O9" s="4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"/>
      <c r="B10" s="4"/>
      <c r="C10" s="4"/>
      <c r="D10" s="4"/>
      <c r="E10" s="4"/>
      <c r="F10" s="4"/>
      <c r="G10" s="4"/>
      <c r="H10" s="4"/>
      <c r="I10" s="2">
        <v>40</v>
      </c>
      <c r="J10" s="2">
        <v>46</v>
      </c>
      <c r="K10" s="4"/>
      <c r="L10" s="4"/>
      <c r="M10" s="4"/>
      <c r="N10" s="4"/>
      <c r="O10" s="4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4"/>
      <c r="B11" s="4"/>
      <c r="C11" s="4"/>
      <c r="D11" s="4"/>
      <c r="E11" s="4"/>
      <c r="F11" s="4"/>
      <c r="G11" s="4"/>
      <c r="H11" s="4"/>
      <c r="I11" s="2">
        <v>45</v>
      </c>
      <c r="J11" s="2">
        <v>45</v>
      </c>
      <c r="K11" s="4"/>
      <c r="L11" s="4"/>
      <c r="M11" s="4"/>
      <c r="N11" s="4"/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4"/>
      <c r="B12" s="4"/>
      <c r="C12" s="4"/>
      <c r="D12" s="4"/>
      <c r="E12" s="4"/>
      <c r="F12" s="4"/>
      <c r="G12" s="4"/>
      <c r="H12" s="4"/>
      <c r="I12" s="2">
        <v>50</v>
      </c>
      <c r="J12" s="2">
        <v>44</v>
      </c>
      <c r="K12" s="4"/>
      <c r="L12" s="4"/>
      <c r="M12" s="4"/>
      <c r="N12" s="4"/>
      <c r="O12" s="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4"/>
      <c r="B13" s="4"/>
      <c r="C13" s="4"/>
      <c r="D13" s="4"/>
      <c r="E13" s="4"/>
      <c r="F13" s="4"/>
      <c r="G13" s="4"/>
      <c r="H13" s="4"/>
      <c r="I13" s="2">
        <v>55</v>
      </c>
      <c r="J13" s="2">
        <v>43</v>
      </c>
      <c r="K13" s="4"/>
      <c r="L13" s="4"/>
      <c r="M13" s="4"/>
      <c r="N13" s="4"/>
      <c r="O13" s="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4"/>
      <c r="B14" s="4"/>
      <c r="C14" s="4"/>
      <c r="D14" s="4"/>
      <c r="E14" s="4"/>
      <c r="F14" s="4"/>
      <c r="G14" s="4"/>
      <c r="H14" s="4"/>
      <c r="I14" s="2">
        <v>60</v>
      </c>
      <c r="J14" s="2">
        <v>42</v>
      </c>
      <c r="K14" s="4"/>
      <c r="L14" s="4"/>
      <c r="M14" s="4"/>
      <c r="N14" s="4"/>
      <c r="O14" s="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4"/>
      <c r="B15" s="4"/>
      <c r="C15" s="4"/>
      <c r="D15" s="4"/>
      <c r="E15" s="4"/>
      <c r="F15" s="4"/>
      <c r="G15" s="4"/>
      <c r="H15" s="4"/>
      <c r="I15" s="2">
        <v>65</v>
      </c>
      <c r="J15" s="2">
        <v>41</v>
      </c>
      <c r="K15" s="4"/>
      <c r="L15" s="4"/>
      <c r="M15" s="4"/>
      <c r="N15" s="4"/>
      <c r="O15" s="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2">
        <v>70</v>
      </c>
      <c r="J16" s="2">
        <v>40</v>
      </c>
      <c r="K16" s="4"/>
      <c r="L16" s="4"/>
      <c r="M16" s="4"/>
      <c r="N16" s="4"/>
      <c r="O16" s="4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4"/>
      <c r="B17" s="4"/>
      <c r="C17" s="4"/>
      <c r="D17" s="4"/>
      <c r="E17" s="4"/>
      <c r="F17" s="4"/>
      <c r="G17" s="4"/>
      <c r="H17" s="4"/>
      <c r="I17" s="2">
        <v>75</v>
      </c>
      <c r="J17" s="2">
        <v>39</v>
      </c>
      <c r="K17" s="4"/>
      <c r="L17" s="4"/>
      <c r="M17" s="4"/>
      <c r="N17" s="4"/>
      <c r="O17" s="4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4"/>
      <c r="B18" s="4"/>
      <c r="C18" s="4"/>
      <c r="D18" s="4"/>
      <c r="E18" s="4"/>
      <c r="F18" s="4"/>
      <c r="G18" s="4"/>
      <c r="H18" s="4"/>
      <c r="I18" s="2">
        <v>80</v>
      </c>
      <c r="J18" s="2">
        <v>38</v>
      </c>
      <c r="K18" s="4"/>
      <c r="L18" s="4"/>
      <c r="M18" s="4"/>
      <c r="N18" s="4"/>
      <c r="O18" s="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4"/>
      <c r="B19" s="4"/>
      <c r="C19" s="4"/>
      <c r="D19" s="4"/>
      <c r="E19" s="4"/>
      <c r="F19" s="4"/>
      <c r="G19" s="4"/>
      <c r="H19" s="4"/>
      <c r="I19" s="2">
        <v>85</v>
      </c>
      <c r="J19" s="2">
        <v>37</v>
      </c>
      <c r="K19" s="4"/>
      <c r="L19" s="4"/>
      <c r="M19" s="4"/>
      <c r="N19" s="4"/>
      <c r="O19" s="4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4"/>
      <c r="B20" s="4"/>
      <c r="C20" s="4"/>
      <c r="D20" s="4"/>
      <c r="E20" s="4"/>
      <c r="F20" s="4"/>
      <c r="G20" s="4"/>
      <c r="H20" s="4"/>
      <c r="I20" s="2">
        <v>90</v>
      </c>
      <c r="J20" s="2">
        <v>36</v>
      </c>
      <c r="K20" s="4"/>
      <c r="L20" s="4"/>
      <c r="M20" s="4"/>
      <c r="N20" s="4"/>
      <c r="O20" s="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4"/>
      <c r="B21" s="4"/>
      <c r="C21" s="4"/>
      <c r="D21" s="4"/>
      <c r="E21" s="4"/>
      <c r="F21" s="4"/>
      <c r="G21" s="4"/>
      <c r="H21" s="4"/>
      <c r="I21" s="2">
        <v>95</v>
      </c>
      <c r="J21" s="2">
        <v>36</v>
      </c>
      <c r="K21" s="4"/>
      <c r="L21" s="4"/>
      <c r="M21" s="4"/>
      <c r="N21" s="4"/>
      <c r="O21" s="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4"/>
      <c r="B22" s="4"/>
      <c r="C22" s="4"/>
      <c r="D22" s="4"/>
      <c r="E22" s="4"/>
      <c r="F22" s="4"/>
      <c r="G22" s="4"/>
      <c r="H22" s="4"/>
      <c r="I22" s="2">
        <v>100</v>
      </c>
      <c r="J22" s="2">
        <v>35</v>
      </c>
      <c r="K22" s="4"/>
      <c r="L22" s="4"/>
      <c r="M22" s="4"/>
      <c r="N22" s="4"/>
      <c r="O22" s="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4"/>
      <c r="B23" s="4"/>
      <c r="C23" s="4"/>
      <c r="D23" s="4"/>
      <c r="E23" s="4"/>
      <c r="F23" s="4"/>
      <c r="G23" s="4"/>
      <c r="H23" s="4"/>
      <c r="I23" s="2">
        <v>105</v>
      </c>
      <c r="J23" s="2">
        <v>34</v>
      </c>
      <c r="K23" s="4"/>
      <c r="L23" s="4"/>
      <c r="M23" s="4"/>
      <c r="N23" s="4"/>
      <c r="O23" s="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4"/>
      <c r="B24" s="4"/>
      <c r="C24" s="4"/>
      <c r="D24" s="4"/>
      <c r="E24" s="4"/>
      <c r="F24" s="4"/>
      <c r="G24" s="4"/>
      <c r="H24" s="4"/>
      <c r="I24" s="2">
        <v>110</v>
      </c>
      <c r="J24" s="2">
        <v>34</v>
      </c>
      <c r="K24" s="4"/>
      <c r="L24" s="4"/>
      <c r="M24" s="4"/>
      <c r="N24" s="4"/>
      <c r="O24" s="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4"/>
      <c r="B25" s="4"/>
      <c r="C25" s="4"/>
      <c r="D25" s="4"/>
      <c r="E25" s="4"/>
      <c r="F25" s="4"/>
      <c r="G25" s="4"/>
      <c r="H25" s="4"/>
      <c r="I25" s="2">
        <v>115</v>
      </c>
      <c r="J25" s="2">
        <v>33</v>
      </c>
      <c r="K25" s="4"/>
      <c r="L25" s="4"/>
      <c r="M25" s="4"/>
      <c r="N25" s="4"/>
      <c r="O25" s="4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4"/>
      <c r="B26" s="4"/>
      <c r="C26" s="4"/>
      <c r="D26" s="4"/>
      <c r="E26" s="4"/>
      <c r="F26" s="4"/>
      <c r="G26" s="4"/>
      <c r="H26" s="4"/>
      <c r="I26" s="2">
        <v>120</v>
      </c>
      <c r="J26" s="2">
        <v>33</v>
      </c>
      <c r="K26" s="4"/>
      <c r="L26" s="4"/>
      <c r="M26" s="4"/>
      <c r="N26" s="4"/>
      <c r="O26" s="4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4"/>
      <c r="B27" s="4"/>
      <c r="C27" s="4"/>
      <c r="D27" s="4"/>
      <c r="E27" s="4"/>
      <c r="F27" s="4"/>
      <c r="G27" s="4"/>
      <c r="H27" s="4"/>
      <c r="I27" s="2">
        <v>125</v>
      </c>
      <c r="J27" s="2">
        <v>33</v>
      </c>
      <c r="K27" s="4"/>
      <c r="L27" s="4"/>
      <c r="M27" s="4"/>
      <c r="N27" s="4"/>
      <c r="O27" s="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6" t="s">
        <v>19</v>
      </c>
      <c r="B28" s="3" t="s">
        <v>20</v>
      </c>
      <c r="C28" s="3" t="s">
        <v>21</v>
      </c>
      <c r="D28" s="3" t="s">
        <v>17</v>
      </c>
      <c r="E28" s="3">
        <v>700</v>
      </c>
      <c r="F28" s="3" t="s">
        <v>18</v>
      </c>
      <c r="G28" s="3">
        <v>90</v>
      </c>
      <c r="H28" s="3">
        <v>54</v>
      </c>
      <c r="I28" s="2">
        <v>0</v>
      </c>
      <c r="J28" s="2">
        <v>90</v>
      </c>
      <c r="K28" s="3">
        <v>17.28</v>
      </c>
      <c r="L28" s="3">
        <v>6.45</v>
      </c>
      <c r="M28" s="3">
        <v>19.97</v>
      </c>
      <c r="N28" s="3">
        <v>0.11</v>
      </c>
      <c r="O28" s="3">
        <v>3.81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2">
        <v>5</v>
      </c>
      <c r="J29" s="2">
        <v>89</v>
      </c>
      <c r="K29" s="4"/>
      <c r="L29" s="4"/>
      <c r="M29" s="4"/>
      <c r="N29" s="4"/>
      <c r="O29" s="4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2">
        <v>10</v>
      </c>
      <c r="J30" s="2">
        <v>88</v>
      </c>
      <c r="K30" s="4"/>
      <c r="L30" s="4"/>
      <c r="M30" s="4"/>
      <c r="N30" s="4"/>
      <c r="O30" s="4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2">
        <v>15</v>
      </c>
      <c r="J31" s="2">
        <v>84</v>
      </c>
      <c r="K31" s="4"/>
      <c r="L31" s="4"/>
      <c r="M31" s="4"/>
      <c r="N31" s="4"/>
      <c r="O31" s="4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2">
        <v>20</v>
      </c>
      <c r="J32" s="2">
        <v>80</v>
      </c>
      <c r="K32" s="4"/>
      <c r="L32" s="4"/>
      <c r="M32" s="4"/>
      <c r="N32" s="4"/>
      <c r="O32" s="4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4"/>
      <c r="B33" s="4"/>
      <c r="C33" s="4"/>
      <c r="D33" s="4"/>
      <c r="E33" s="4"/>
      <c r="F33" s="4"/>
      <c r="G33" s="4"/>
      <c r="H33" s="4"/>
      <c r="I33" s="2">
        <v>25</v>
      </c>
      <c r="J33" s="2">
        <v>76</v>
      </c>
      <c r="K33" s="4"/>
      <c r="L33" s="4"/>
      <c r="M33" s="4"/>
      <c r="N33" s="4"/>
      <c r="O33" s="4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4"/>
      <c r="B34" s="4"/>
      <c r="C34" s="4"/>
      <c r="D34" s="4"/>
      <c r="E34" s="4"/>
      <c r="F34" s="4"/>
      <c r="G34" s="4"/>
      <c r="H34" s="4"/>
      <c r="I34" s="2">
        <v>30</v>
      </c>
      <c r="J34" s="2">
        <v>73</v>
      </c>
      <c r="K34" s="4"/>
      <c r="L34" s="4"/>
      <c r="M34" s="4"/>
      <c r="N34" s="4"/>
      <c r="O34" s="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4"/>
      <c r="B35" s="4"/>
      <c r="C35" s="4"/>
      <c r="D35" s="4"/>
      <c r="E35" s="4"/>
      <c r="F35" s="4"/>
      <c r="G35" s="4"/>
      <c r="H35" s="4"/>
      <c r="I35" s="2">
        <v>35</v>
      </c>
      <c r="J35" s="2">
        <v>71</v>
      </c>
      <c r="K35" s="4"/>
      <c r="L35" s="4"/>
      <c r="M35" s="4"/>
      <c r="N35" s="4"/>
      <c r="O35" s="4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4"/>
      <c r="B36" s="4"/>
      <c r="C36" s="4"/>
      <c r="D36" s="4"/>
      <c r="E36" s="4"/>
      <c r="F36" s="4"/>
      <c r="G36" s="4"/>
      <c r="H36" s="4"/>
      <c r="I36" s="2">
        <v>40</v>
      </c>
      <c r="J36" s="2">
        <v>69</v>
      </c>
      <c r="K36" s="4"/>
      <c r="L36" s="4"/>
      <c r="M36" s="4"/>
      <c r="N36" s="4"/>
      <c r="O36" s="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4"/>
      <c r="B37" s="4"/>
      <c r="C37" s="4"/>
      <c r="D37" s="4"/>
      <c r="E37" s="4"/>
      <c r="F37" s="4"/>
      <c r="G37" s="4"/>
      <c r="H37" s="4"/>
      <c r="I37" s="2">
        <v>45</v>
      </c>
      <c r="J37" s="2">
        <v>68</v>
      </c>
      <c r="K37" s="4"/>
      <c r="L37" s="4"/>
      <c r="M37" s="4"/>
      <c r="N37" s="4"/>
      <c r="O37" s="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4"/>
      <c r="B38" s="4"/>
      <c r="C38" s="4"/>
      <c r="D38" s="4"/>
      <c r="E38" s="4"/>
      <c r="F38" s="4"/>
      <c r="G38" s="4"/>
      <c r="H38" s="4"/>
      <c r="I38" s="2">
        <v>50</v>
      </c>
      <c r="J38" s="2">
        <v>67</v>
      </c>
      <c r="K38" s="4"/>
      <c r="L38" s="4"/>
      <c r="M38" s="4"/>
      <c r="N38" s="4"/>
      <c r="O38" s="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2">
        <v>55</v>
      </c>
      <c r="J39" s="2">
        <v>65</v>
      </c>
      <c r="K39" s="4"/>
      <c r="L39" s="4"/>
      <c r="M39" s="4"/>
      <c r="N39" s="4"/>
      <c r="O39" s="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2">
        <v>60</v>
      </c>
      <c r="J40" s="2">
        <v>64</v>
      </c>
      <c r="K40" s="4"/>
      <c r="L40" s="4"/>
      <c r="M40" s="4"/>
      <c r="N40" s="4"/>
      <c r="O40" s="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2">
        <v>65</v>
      </c>
      <c r="J41" s="2">
        <v>63</v>
      </c>
      <c r="K41" s="4"/>
      <c r="L41" s="4"/>
      <c r="M41" s="4"/>
      <c r="N41" s="4"/>
      <c r="O41" s="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2">
        <v>70</v>
      </c>
      <c r="J42" s="2">
        <v>62</v>
      </c>
      <c r="K42" s="4"/>
      <c r="L42" s="4"/>
      <c r="M42" s="4"/>
      <c r="N42" s="4"/>
      <c r="O42" s="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2">
        <v>75</v>
      </c>
      <c r="J43" s="2">
        <v>61</v>
      </c>
      <c r="K43" s="4"/>
      <c r="L43" s="4"/>
      <c r="M43" s="4"/>
      <c r="N43" s="4"/>
      <c r="O43" s="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2">
        <v>80</v>
      </c>
      <c r="J44" s="2">
        <v>60</v>
      </c>
      <c r="K44" s="4"/>
      <c r="L44" s="4"/>
      <c r="M44" s="4"/>
      <c r="N44" s="4"/>
      <c r="O44" s="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2">
        <v>85</v>
      </c>
      <c r="J45" s="2">
        <v>59</v>
      </c>
      <c r="K45" s="4"/>
      <c r="L45" s="4"/>
      <c r="M45" s="4"/>
      <c r="N45" s="4"/>
      <c r="O45" s="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2">
        <v>90</v>
      </c>
      <c r="J46" s="2">
        <v>58</v>
      </c>
      <c r="K46" s="4"/>
      <c r="L46" s="4"/>
      <c r="M46" s="4"/>
      <c r="N46" s="4"/>
      <c r="O46" s="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2">
        <v>95</v>
      </c>
      <c r="J47" s="2">
        <v>57</v>
      </c>
      <c r="K47" s="4"/>
      <c r="L47" s="4"/>
      <c r="M47" s="4"/>
      <c r="N47" s="4"/>
      <c r="O47" s="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2">
        <v>100</v>
      </c>
      <c r="J48" s="2">
        <v>56</v>
      </c>
      <c r="K48" s="4"/>
      <c r="L48" s="4"/>
      <c r="M48" s="4"/>
      <c r="N48" s="4"/>
      <c r="O48" s="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2">
        <v>105</v>
      </c>
      <c r="J49" s="2">
        <v>55</v>
      </c>
      <c r="K49" s="4"/>
      <c r="L49" s="4"/>
      <c r="M49" s="4"/>
      <c r="N49" s="4"/>
      <c r="O49" s="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2">
        <v>110</v>
      </c>
      <c r="J50" s="2">
        <v>54</v>
      </c>
      <c r="K50" s="4"/>
      <c r="L50" s="4"/>
      <c r="M50" s="4"/>
      <c r="N50" s="4"/>
      <c r="O50" s="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2">
        <v>115</v>
      </c>
      <c r="J51" s="2">
        <v>53</v>
      </c>
      <c r="K51" s="4"/>
      <c r="L51" s="4"/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2">
        <v>120</v>
      </c>
      <c r="J52" s="2">
        <v>52</v>
      </c>
      <c r="K52" s="4"/>
      <c r="L52" s="4"/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2">
        <v>125</v>
      </c>
      <c r="J53" s="2">
        <v>52</v>
      </c>
      <c r="K53" s="4"/>
      <c r="L53" s="4"/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6" t="s">
        <v>22</v>
      </c>
      <c r="B54" s="3" t="s">
        <v>23</v>
      </c>
      <c r="C54" s="3" t="s">
        <v>24</v>
      </c>
      <c r="D54" s="3" t="s">
        <v>17</v>
      </c>
      <c r="E54" s="3">
        <v>700</v>
      </c>
      <c r="F54" s="3" t="s">
        <v>18</v>
      </c>
      <c r="G54" s="3">
        <v>90</v>
      </c>
      <c r="H54" s="3">
        <v>45</v>
      </c>
      <c r="I54" s="2">
        <v>0</v>
      </c>
      <c r="J54" s="2">
        <v>90</v>
      </c>
      <c r="K54" s="3">
        <v>21.6</v>
      </c>
      <c r="L54" s="3">
        <v>6.34</v>
      </c>
      <c r="M54" s="3">
        <v>24.08</v>
      </c>
      <c r="N54" s="3">
        <v>0.12</v>
      </c>
      <c r="O54" s="3">
        <v>3.81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2">
        <v>5</v>
      </c>
      <c r="J55" s="2">
        <v>88</v>
      </c>
      <c r="K55" s="4"/>
      <c r="L55" s="4"/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2">
        <v>10</v>
      </c>
      <c r="J56" s="2">
        <v>87</v>
      </c>
      <c r="K56" s="4"/>
      <c r="L56" s="4"/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2">
        <v>15</v>
      </c>
      <c r="J57" s="2">
        <v>82</v>
      </c>
      <c r="K57" s="4"/>
      <c r="L57" s="4"/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2">
        <v>20</v>
      </c>
      <c r="J58" s="2">
        <v>78</v>
      </c>
      <c r="K58" s="4"/>
      <c r="L58" s="4"/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2">
        <v>25</v>
      </c>
      <c r="J59" s="2">
        <v>75</v>
      </c>
      <c r="K59" s="4"/>
      <c r="L59" s="4"/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2">
        <v>30</v>
      </c>
      <c r="J60" s="2">
        <v>73</v>
      </c>
      <c r="K60" s="4"/>
      <c r="L60" s="4"/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2">
        <v>35</v>
      </c>
      <c r="J61" s="2">
        <v>70</v>
      </c>
      <c r="K61" s="4"/>
      <c r="L61" s="4"/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2">
        <v>40</v>
      </c>
      <c r="J62" s="2">
        <v>68</v>
      </c>
      <c r="K62" s="4"/>
      <c r="L62" s="4"/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2">
        <v>45</v>
      </c>
      <c r="J63" s="2">
        <v>67</v>
      </c>
      <c r="K63" s="4"/>
      <c r="L63" s="4"/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2">
        <v>50</v>
      </c>
      <c r="J64" s="2">
        <v>66</v>
      </c>
      <c r="K64" s="4"/>
      <c r="L64" s="4"/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2">
        <v>55</v>
      </c>
      <c r="J65" s="2">
        <v>64</v>
      </c>
      <c r="K65" s="4"/>
      <c r="L65" s="4"/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2">
        <v>60</v>
      </c>
      <c r="J66" s="2">
        <v>63</v>
      </c>
      <c r="K66" s="4"/>
      <c r="L66" s="4"/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2">
        <v>65</v>
      </c>
      <c r="J67" s="2">
        <v>62</v>
      </c>
      <c r="K67" s="4"/>
      <c r="L67" s="4"/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2">
        <v>70</v>
      </c>
      <c r="J68" s="2">
        <v>61</v>
      </c>
      <c r="K68" s="4"/>
      <c r="L68" s="4"/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2">
        <v>75</v>
      </c>
      <c r="J69" s="2">
        <v>60</v>
      </c>
      <c r="K69" s="4"/>
      <c r="L69" s="4"/>
      <c r="M69" s="4"/>
      <c r="N69" s="4"/>
      <c r="O69" s="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2">
        <v>80</v>
      </c>
      <c r="J70" s="2">
        <v>59</v>
      </c>
      <c r="K70" s="4"/>
      <c r="L70" s="4"/>
      <c r="M70" s="4"/>
      <c r="N70" s="4"/>
      <c r="O70" s="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2">
        <v>85</v>
      </c>
      <c r="J71" s="2">
        <v>58</v>
      </c>
      <c r="K71" s="4"/>
      <c r="L71" s="4"/>
      <c r="M71" s="4"/>
      <c r="N71" s="4"/>
      <c r="O71" s="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2">
        <v>90</v>
      </c>
      <c r="J72" s="2">
        <v>57</v>
      </c>
      <c r="K72" s="4"/>
      <c r="L72" s="4"/>
      <c r="M72" s="4"/>
      <c r="N72" s="4"/>
      <c r="O72" s="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2">
        <v>95</v>
      </c>
      <c r="J73" s="2">
        <v>56</v>
      </c>
      <c r="K73" s="4"/>
      <c r="L73" s="4"/>
      <c r="M73" s="4"/>
      <c r="N73" s="4"/>
      <c r="O73" s="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2">
        <v>100</v>
      </c>
      <c r="J74" s="2">
        <v>55</v>
      </c>
      <c r="K74" s="4"/>
      <c r="L74" s="4"/>
      <c r="M74" s="4"/>
      <c r="N74" s="4"/>
      <c r="O74" s="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2">
        <v>105</v>
      </c>
      <c r="J75" s="2">
        <v>54</v>
      </c>
      <c r="K75" s="4"/>
      <c r="L75" s="4"/>
      <c r="M75" s="4"/>
      <c r="N75" s="4"/>
      <c r="O75" s="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2">
        <v>110</v>
      </c>
      <c r="J76" s="2">
        <v>53</v>
      </c>
      <c r="K76" s="4"/>
      <c r="L76" s="4"/>
      <c r="M76" s="4"/>
      <c r="N76" s="4"/>
      <c r="O76" s="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2">
        <v>115</v>
      </c>
      <c r="J77" s="2">
        <v>52</v>
      </c>
      <c r="K77" s="4"/>
      <c r="L77" s="4"/>
      <c r="M77" s="4"/>
      <c r="N77" s="4"/>
      <c r="O77" s="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2">
        <v>120</v>
      </c>
      <c r="J78" s="2">
        <v>51</v>
      </c>
      <c r="K78" s="4"/>
      <c r="L78" s="4"/>
      <c r="M78" s="4"/>
      <c r="N78" s="4"/>
      <c r="O78" s="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51.75" customHeight="1" x14ac:dyDescent="0.2">
      <c r="A79" s="4"/>
      <c r="B79" s="4"/>
      <c r="C79" s="4"/>
      <c r="D79" s="4"/>
      <c r="E79" s="4"/>
      <c r="F79" s="4"/>
      <c r="G79" s="4"/>
      <c r="H79" s="4"/>
      <c r="I79" s="2">
        <v>125</v>
      </c>
      <c r="J79" s="2">
        <v>50</v>
      </c>
      <c r="K79" s="4"/>
      <c r="L79" s="4"/>
      <c r="M79" s="4"/>
      <c r="N79" s="4"/>
      <c r="O79" s="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5" t="s">
        <v>25</v>
      </c>
      <c r="B80" s="3" t="s">
        <v>16</v>
      </c>
      <c r="C80" s="3">
        <v>20</v>
      </c>
      <c r="D80" s="3" t="s">
        <v>26</v>
      </c>
      <c r="E80" s="3">
        <v>800</v>
      </c>
      <c r="F80" s="3">
        <v>1</v>
      </c>
      <c r="G80" s="3">
        <v>82</v>
      </c>
      <c r="H80" s="3">
        <v>70</v>
      </c>
      <c r="I80" s="2">
        <v>0</v>
      </c>
      <c r="J80" s="2">
        <v>82</v>
      </c>
      <c r="K80" s="3">
        <v>2</v>
      </c>
      <c r="L80" s="3">
        <v>0.5</v>
      </c>
      <c r="M80" s="3">
        <v>12.7</v>
      </c>
      <c r="N80" s="3">
        <v>0.09</v>
      </c>
      <c r="O80" s="3">
        <v>35.4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2">
        <f t="shared" ref="I81:I152" si="0">I80+5</f>
        <v>5</v>
      </c>
      <c r="J81" s="2">
        <f t="shared" ref="J81:J152" si="1">J80-0.4</f>
        <v>81.599999999999994</v>
      </c>
      <c r="K81" s="4"/>
      <c r="L81" s="4"/>
      <c r="M81" s="4"/>
      <c r="N81" s="4"/>
      <c r="O81" s="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2">
        <f t="shared" si="0"/>
        <v>10</v>
      </c>
      <c r="J82" s="2">
        <f t="shared" si="1"/>
        <v>81.199999999999989</v>
      </c>
      <c r="K82" s="4"/>
      <c r="L82" s="4"/>
      <c r="M82" s="4"/>
      <c r="N82" s="4"/>
      <c r="O82" s="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2">
        <f t="shared" si="0"/>
        <v>15</v>
      </c>
      <c r="J83" s="2">
        <f t="shared" si="1"/>
        <v>80.799999999999983</v>
      </c>
      <c r="K83" s="4"/>
      <c r="L83" s="4"/>
      <c r="M83" s="4"/>
      <c r="N83" s="4"/>
      <c r="O83" s="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2">
        <f t="shared" si="0"/>
        <v>20</v>
      </c>
      <c r="J84" s="2">
        <f t="shared" si="1"/>
        <v>80.399999999999977</v>
      </c>
      <c r="K84" s="4"/>
      <c r="L84" s="4"/>
      <c r="M84" s="4"/>
      <c r="N84" s="4"/>
      <c r="O84" s="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2">
        <f t="shared" si="0"/>
        <v>25</v>
      </c>
      <c r="J85" s="2">
        <f t="shared" si="1"/>
        <v>79.999999999999972</v>
      </c>
      <c r="K85" s="4"/>
      <c r="L85" s="4"/>
      <c r="M85" s="4"/>
      <c r="N85" s="4"/>
      <c r="O85" s="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2">
        <f t="shared" si="0"/>
        <v>30</v>
      </c>
      <c r="J86" s="2">
        <f t="shared" si="1"/>
        <v>79.599999999999966</v>
      </c>
      <c r="K86" s="4"/>
      <c r="L86" s="4"/>
      <c r="M86" s="4"/>
      <c r="N86" s="4"/>
      <c r="O86" s="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2">
        <f t="shared" si="0"/>
        <v>35</v>
      </c>
      <c r="J87" s="2">
        <f t="shared" si="1"/>
        <v>79.19999999999996</v>
      </c>
      <c r="K87" s="4"/>
      <c r="L87" s="4"/>
      <c r="M87" s="4"/>
      <c r="N87" s="4"/>
      <c r="O87" s="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2">
        <f t="shared" si="0"/>
        <v>40</v>
      </c>
      <c r="J88" s="2">
        <f t="shared" si="1"/>
        <v>78.799999999999955</v>
      </c>
      <c r="K88" s="4"/>
      <c r="L88" s="4"/>
      <c r="M88" s="4"/>
      <c r="N88" s="4"/>
      <c r="O88" s="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2">
        <f t="shared" si="0"/>
        <v>45</v>
      </c>
      <c r="J89" s="2">
        <f t="shared" si="1"/>
        <v>78.399999999999949</v>
      </c>
      <c r="K89" s="4"/>
      <c r="L89" s="4"/>
      <c r="M89" s="4"/>
      <c r="N89" s="4"/>
      <c r="O89" s="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2">
        <f t="shared" si="0"/>
        <v>50</v>
      </c>
      <c r="J90" s="2">
        <f t="shared" si="1"/>
        <v>77.999999999999943</v>
      </c>
      <c r="K90" s="4"/>
      <c r="L90" s="4"/>
      <c r="M90" s="4"/>
      <c r="N90" s="4"/>
      <c r="O90" s="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2">
        <f t="shared" si="0"/>
        <v>55</v>
      </c>
      <c r="J91" s="2">
        <f t="shared" si="1"/>
        <v>77.599999999999937</v>
      </c>
      <c r="K91" s="4"/>
      <c r="L91" s="4"/>
      <c r="M91" s="4"/>
      <c r="N91" s="4"/>
      <c r="O91" s="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2">
        <f t="shared" si="0"/>
        <v>60</v>
      </c>
      <c r="J92" s="2">
        <f t="shared" si="1"/>
        <v>77.199999999999932</v>
      </c>
      <c r="K92" s="4"/>
      <c r="L92" s="4"/>
      <c r="M92" s="4"/>
      <c r="N92" s="4"/>
      <c r="O92" s="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2">
        <f t="shared" si="0"/>
        <v>65</v>
      </c>
      <c r="J93" s="2">
        <f t="shared" si="1"/>
        <v>76.799999999999926</v>
      </c>
      <c r="K93" s="4"/>
      <c r="L93" s="4"/>
      <c r="M93" s="4"/>
      <c r="N93" s="4"/>
      <c r="O93" s="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2">
        <f t="shared" si="0"/>
        <v>70</v>
      </c>
      <c r="J94" s="2">
        <f t="shared" si="1"/>
        <v>76.39999999999992</v>
      </c>
      <c r="K94" s="4"/>
      <c r="L94" s="4"/>
      <c r="M94" s="4"/>
      <c r="N94" s="4"/>
      <c r="O94" s="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2">
        <f t="shared" si="0"/>
        <v>75</v>
      </c>
      <c r="J95" s="2">
        <f t="shared" si="1"/>
        <v>75.999999999999915</v>
      </c>
      <c r="K95" s="4"/>
      <c r="L95" s="4"/>
      <c r="M95" s="4"/>
      <c r="N95" s="4"/>
      <c r="O95" s="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2">
        <f t="shared" si="0"/>
        <v>80</v>
      </c>
      <c r="J96" s="2">
        <f t="shared" si="1"/>
        <v>75.599999999999909</v>
      </c>
      <c r="K96" s="4"/>
      <c r="L96" s="4"/>
      <c r="M96" s="4"/>
      <c r="N96" s="4"/>
      <c r="O96" s="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2">
        <f t="shared" si="0"/>
        <v>85</v>
      </c>
      <c r="J97" s="2">
        <f t="shared" si="1"/>
        <v>75.199999999999903</v>
      </c>
      <c r="K97" s="4"/>
      <c r="L97" s="4"/>
      <c r="M97" s="4"/>
      <c r="N97" s="4"/>
      <c r="O97" s="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2">
        <f t="shared" si="0"/>
        <v>90</v>
      </c>
      <c r="J98" s="2">
        <f t="shared" si="1"/>
        <v>74.799999999999898</v>
      </c>
      <c r="K98" s="4"/>
      <c r="L98" s="4"/>
      <c r="M98" s="4"/>
      <c r="N98" s="4"/>
      <c r="O98" s="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2">
        <f t="shared" si="0"/>
        <v>95</v>
      </c>
      <c r="J99" s="2">
        <f t="shared" si="1"/>
        <v>74.399999999999892</v>
      </c>
      <c r="K99" s="4"/>
      <c r="L99" s="4"/>
      <c r="M99" s="4"/>
      <c r="N99" s="4"/>
      <c r="O99" s="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2">
        <f t="shared" si="0"/>
        <v>100</v>
      </c>
      <c r="J100" s="2">
        <f t="shared" si="1"/>
        <v>73.999999999999886</v>
      </c>
      <c r="K100" s="4"/>
      <c r="L100" s="4"/>
      <c r="M100" s="4"/>
      <c r="N100" s="4"/>
      <c r="O100" s="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2">
        <f t="shared" si="0"/>
        <v>105</v>
      </c>
      <c r="J101" s="2">
        <f t="shared" si="1"/>
        <v>73.599999999999881</v>
      </c>
      <c r="K101" s="4"/>
      <c r="L101" s="4"/>
      <c r="M101" s="4"/>
      <c r="N101" s="4"/>
      <c r="O101" s="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2">
        <f t="shared" si="0"/>
        <v>110</v>
      </c>
      <c r="J102" s="2">
        <f t="shared" si="1"/>
        <v>73.199999999999875</v>
      </c>
      <c r="K102" s="4"/>
      <c r="L102" s="4"/>
      <c r="M102" s="4"/>
      <c r="N102" s="4"/>
      <c r="O102" s="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2">
        <f t="shared" si="0"/>
        <v>115</v>
      </c>
      <c r="J103" s="2">
        <f t="shared" si="1"/>
        <v>72.799999999999869</v>
      </c>
      <c r="K103" s="4"/>
      <c r="L103" s="4"/>
      <c r="M103" s="4"/>
      <c r="N103" s="4"/>
      <c r="O103" s="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2">
        <f t="shared" si="0"/>
        <v>120</v>
      </c>
      <c r="J104" s="2">
        <f t="shared" si="1"/>
        <v>72.399999999999864</v>
      </c>
      <c r="K104" s="4"/>
      <c r="L104" s="4"/>
      <c r="M104" s="4"/>
      <c r="N104" s="4"/>
      <c r="O104" s="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2">
        <f t="shared" si="0"/>
        <v>125</v>
      </c>
      <c r="J105" s="2">
        <f t="shared" si="1"/>
        <v>71.999999999999858</v>
      </c>
      <c r="K105" s="4"/>
      <c r="L105" s="4"/>
      <c r="M105" s="4"/>
      <c r="N105" s="4"/>
      <c r="O105" s="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2">
        <f t="shared" si="0"/>
        <v>130</v>
      </c>
      <c r="J106" s="2">
        <f t="shared" si="1"/>
        <v>71.599999999999852</v>
      </c>
      <c r="K106" s="4"/>
      <c r="L106" s="4"/>
      <c r="M106" s="4"/>
      <c r="N106" s="4"/>
      <c r="O106" s="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2">
        <f t="shared" si="0"/>
        <v>135</v>
      </c>
      <c r="J107" s="2">
        <f t="shared" si="1"/>
        <v>71.199999999999847</v>
      </c>
      <c r="K107" s="4"/>
      <c r="L107" s="4"/>
      <c r="M107" s="4"/>
      <c r="N107" s="4"/>
      <c r="O107" s="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2">
        <f t="shared" si="0"/>
        <v>140</v>
      </c>
      <c r="J108" s="2">
        <f t="shared" si="1"/>
        <v>70.799999999999841</v>
      </c>
      <c r="K108" s="4"/>
      <c r="L108" s="4"/>
      <c r="M108" s="4"/>
      <c r="N108" s="4"/>
      <c r="O108" s="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2">
        <f t="shared" si="0"/>
        <v>145</v>
      </c>
      <c r="J109" s="2">
        <f t="shared" si="1"/>
        <v>70.399999999999835</v>
      </c>
      <c r="K109" s="4"/>
      <c r="L109" s="4"/>
      <c r="M109" s="4"/>
      <c r="N109" s="4"/>
      <c r="O109" s="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2">
        <f t="shared" si="0"/>
        <v>150</v>
      </c>
      <c r="J110" s="2">
        <f t="shared" si="1"/>
        <v>69.999999999999829</v>
      </c>
      <c r="K110" s="4"/>
      <c r="L110" s="4"/>
      <c r="M110" s="4"/>
      <c r="N110" s="4"/>
      <c r="O110" s="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2">
        <f t="shared" si="0"/>
        <v>155</v>
      </c>
      <c r="J111" s="2">
        <f t="shared" si="1"/>
        <v>69.599999999999824</v>
      </c>
      <c r="K111" s="4"/>
      <c r="L111" s="4"/>
      <c r="M111" s="4"/>
      <c r="N111" s="4"/>
      <c r="O111" s="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2">
        <f t="shared" si="0"/>
        <v>160</v>
      </c>
      <c r="J112" s="2">
        <f t="shared" si="1"/>
        <v>69.199999999999818</v>
      </c>
      <c r="K112" s="4"/>
      <c r="L112" s="4"/>
      <c r="M112" s="4"/>
      <c r="N112" s="4"/>
      <c r="O112" s="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2">
        <f t="shared" si="0"/>
        <v>165</v>
      </c>
      <c r="J113" s="2">
        <f t="shared" si="1"/>
        <v>68.799999999999812</v>
      </c>
      <c r="K113" s="4"/>
      <c r="L113" s="4"/>
      <c r="M113" s="4"/>
      <c r="N113" s="4"/>
      <c r="O113" s="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2">
        <f t="shared" si="0"/>
        <v>170</v>
      </c>
      <c r="J114" s="2">
        <f t="shared" si="1"/>
        <v>68.399999999999807</v>
      </c>
      <c r="K114" s="4"/>
      <c r="L114" s="4"/>
      <c r="M114" s="4"/>
      <c r="N114" s="4"/>
      <c r="O114" s="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2">
        <f t="shared" si="0"/>
        <v>175</v>
      </c>
      <c r="J115" s="2">
        <f t="shared" si="1"/>
        <v>67.999999999999801</v>
      </c>
      <c r="K115" s="4"/>
      <c r="L115" s="4"/>
      <c r="M115" s="4"/>
      <c r="N115" s="4"/>
      <c r="O115" s="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2">
        <f t="shared" si="0"/>
        <v>180</v>
      </c>
      <c r="J116" s="2">
        <f t="shared" si="1"/>
        <v>67.599999999999795</v>
      </c>
      <c r="K116" s="4"/>
      <c r="L116" s="4"/>
      <c r="M116" s="4"/>
      <c r="N116" s="4"/>
      <c r="O116" s="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2">
        <f t="shared" si="0"/>
        <v>185</v>
      </c>
      <c r="J117" s="2">
        <f t="shared" si="1"/>
        <v>67.19999999999979</v>
      </c>
      <c r="K117" s="4"/>
      <c r="L117" s="4"/>
      <c r="M117" s="4"/>
      <c r="N117" s="4"/>
      <c r="O117" s="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2">
        <f t="shared" si="0"/>
        <v>190</v>
      </c>
      <c r="J118" s="2">
        <f t="shared" si="1"/>
        <v>66.799999999999784</v>
      </c>
      <c r="K118" s="4"/>
      <c r="L118" s="4"/>
      <c r="M118" s="4"/>
      <c r="N118" s="4"/>
      <c r="O118" s="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2">
        <f t="shared" si="0"/>
        <v>195</v>
      </c>
      <c r="J119" s="2">
        <f t="shared" si="1"/>
        <v>66.399999999999778</v>
      </c>
      <c r="K119" s="4"/>
      <c r="L119" s="4"/>
      <c r="M119" s="4"/>
      <c r="N119" s="4"/>
      <c r="O119" s="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2">
        <f t="shared" si="0"/>
        <v>200</v>
      </c>
      <c r="J120" s="2">
        <f t="shared" si="1"/>
        <v>65.999999999999773</v>
      </c>
      <c r="K120" s="4"/>
      <c r="L120" s="4"/>
      <c r="M120" s="4"/>
      <c r="N120" s="4"/>
      <c r="O120" s="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2">
        <f t="shared" si="0"/>
        <v>205</v>
      </c>
      <c r="J121" s="2">
        <f t="shared" si="1"/>
        <v>65.599999999999767</v>
      </c>
      <c r="K121" s="4"/>
      <c r="L121" s="4"/>
      <c r="M121" s="4"/>
      <c r="N121" s="4"/>
      <c r="O121" s="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2">
        <f t="shared" si="0"/>
        <v>210</v>
      </c>
      <c r="J122" s="2">
        <f t="shared" si="1"/>
        <v>65.199999999999761</v>
      </c>
      <c r="K122" s="4"/>
      <c r="L122" s="4"/>
      <c r="M122" s="4"/>
      <c r="N122" s="4"/>
      <c r="O122" s="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2">
        <f t="shared" si="0"/>
        <v>215</v>
      </c>
      <c r="J123" s="2">
        <f t="shared" si="1"/>
        <v>64.799999999999756</v>
      </c>
      <c r="K123" s="4"/>
      <c r="L123" s="4"/>
      <c r="M123" s="4"/>
      <c r="N123" s="4"/>
      <c r="O123" s="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2">
        <f t="shared" si="0"/>
        <v>220</v>
      </c>
      <c r="J124" s="2">
        <f t="shared" si="1"/>
        <v>64.39999999999975</v>
      </c>
      <c r="K124" s="4"/>
      <c r="L124" s="4"/>
      <c r="M124" s="4"/>
      <c r="N124" s="4"/>
      <c r="O124" s="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2">
        <f t="shared" si="0"/>
        <v>225</v>
      </c>
      <c r="J125" s="2">
        <f t="shared" si="1"/>
        <v>63.999999999999751</v>
      </c>
      <c r="K125" s="4"/>
      <c r="L125" s="4"/>
      <c r="M125" s="4"/>
      <c r="N125" s="4"/>
      <c r="O125" s="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2">
        <f t="shared" si="0"/>
        <v>230</v>
      </c>
      <c r="J126" s="2">
        <f t="shared" si="1"/>
        <v>63.599999999999753</v>
      </c>
      <c r="K126" s="4"/>
      <c r="L126" s="4"/>
      <c r="M126" s="4"/>
      <c r="N126" s="4"/>
      <c r="O126" s="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2">
        <f t="shared" si="0"/>
        <v>235</v>
      </c>
      <c r="J127" s="2">
        <f t="shared" si="1"/>
        <v>63.199999999999754</v>
      </c>
      <c r="K127" s="4"/>
      <c r="L127" s="4"/>
      <c r="M127" s="4"/>
      <c r="N127" s="4"/>
      <c r="O127" s="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2">
        <f t="shared" si="0"/>
        <v>240</v>
      </c>
      <c r="J128" s="2">
        <f t="shared" si="1"/>
        <v>62.799999999999756</v>
      </c>
      <c r="K128" s="4"/>
      <c r="L128" s="4"/>
      <c r="M128" s="4"/>
      <c r="N128" s="4"/>
      <c r="O128" s="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2">
        <f t="shared" si="0"/>
        <v>245</v>
      </c>
      <c r="J129" s="2">
        <f t="shared" si="1"/>
        <v>62.399999999999757</v>
      </c>
      <c r="K129" s="4"/>
      <c r="L129" s="4"/>
      <c r="M129" s="4"/>
      <c r="N129" s="4"/>
      <c r="O129" s="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2">
        <f t="shared" si="0"/>
        <v>250</v>
      </c>
      <c r="J130" s="2">
        <f t="shared" si="1"/>
        <v>61.999999999999758</v>
      </c>
      <c r="K130" s="4"/>
      <c r="L130" s="4"/>
      <c r="M130" s="4"/>
      <c r="N130" s="4"/>
      <c r="O130" s="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2">
        <f t="shared" si="0"/>
        <v>255</v>
      </c>
      <c r="J131" s="2">
        <f t="shared" si="1"/>
        <v>61.59999999999976</v>
      </c>
      <c r="K131" s="4"/>
      <c r="L131" s="4"/>
      <c r="M131" s="4"/>
      <c r="N131" s="4"/>
      <c r="O131" s="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2">
        <f t="shared" si="0"/>
        <v>260</v>
      </c>
      <c r="J132" s="2">
        <f t="shared" si="1"/>
        <v>61.199999999999761</v>
      </c>
      <c r="K132" s="4"/>
      <c r="L132" s="4"/>
      <c r="M132" s="4"/>
      <c r="N132" s="4"/>
      <c r="O132" s="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2">
        <f t="shared" si="0"/>
        <v>265</v>
      </c>
      <c r="J133" s="2">
        <f t="shared" si="1"/>
        <v>60.799999999999763</v>
      </c>
      <c r="K133" s="4"/>
      <c r="L133" s="4"/>
      <c r="M133" s="4"/>
      <c r="N133" s="4"/>
      <c r="O133" s="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2">
        <f t="shared" si="0"/>
        <v>270</v>
      </c>
      <c r="J134" s="2">
        <f t="shared" si="1"/>
        <v>60.399999999999764</v>
      </c>
      <c r="K134" s="4"/>
      <c r="L134" s="4"/>
      <c r="M134" s="4"/>
      <c r="N134" s="4"/>
      <c r="O134" s="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2">
        <f t="shared" si="0"/>
        <v>275</v>
      </c>
      <c r="J135" s="2">
        <f t="shared" si="1"/>
        <v>59.999999999999766</v>
      </c>
      <c r="K135" s="4"/>
      <c r="L135" s="4"/>
      <c r="M135" s="4"/>
      <c r="N135" s="4"/>
      <c r="O135" s="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2">
        <f t="shared" si="0"/>
        <v>280</v>
      </c>
      <c r="J136" s="2">
        <f t="shared" si="1"/>
        <v>59.599999999999767</v>
      </c>
      <c r="K136" s="4"/>
      <c r="L136" s="4"/>
      <c r="M136" s="4"/>
      <c r="N136" s="4"/>
      <c r="O136" s="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2">
        <f t="shared" si="0"/>
        <v>285</v>
      </c>
      <c r="J137" s="2">
        <f t="shared" si="1"/>
        <v>59.199999999999768</v>
      </c>
      <c r="K137" s="4"/>
      <c r="L137" s="4"/>
      <c r="M137" s="4"/>
      <c r="N137" s="4"/>
      <c r="O137" s="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2">
        <f t="shared" si="0"/>
        <v>290</v>
      </c>
      <c r="J138" s="2">
        <f t="shared" si="1"/>
        <v>58.79999999999977</v>
      </c>
      <c r="K138" s="4"/>
      <c r="L138" s="4"/>
      <c r="M138" s="4"/>
      <c r="N138" s="4"/>
      <c r="O138" s="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2">
        <f t="shared" si="0"/>
        <v>295</v>
      </c>
      <c r="J139" s="2">
        <f t="shared" si="1"/>
        <v>58.399999999999771</v>
      </c>
      <c r="K139" s="4"/>
      <c r="L139" s="4"/>
      <c r="M139" s="4"/>
      <c r="N139" s="4"/>
      <c r="O139" s="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2">
        <f t="shared" si="0"/>
        <v>300</v>
      </c>
      <c r="J140" s="2">
        <f t="shared" si="1"/>
        <v>57.999999999999773</v>
      </c>
      <c r="K140" s="4"/>
      <c r="L140" s="4"/>
      <c r="M140" s="4"/>
      <c r="N140" s="4"/>
      <c r="O140" s="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2">
        <f t="shared" si="0"/>
        <v>305</v>
      </c>
      <c r="J141" s="2">
        <f t="shared" si="1"/>
        <v>57.599999999999774</v>
      </c>
      <c r="K141" s="4"/>
      <c r="L141" s="4"/>
      <c r="M141" s="4"/>
      <c r="N141" s="4"/>
      <c r="O141" s="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2">
        <f t="shared" si="0"/>
        <v>310</v>
      </c>
      <c r="J142" s="2">
        <f t="shared" si="1"/>
        <v>57.199999999999775</v>
      </c>
      <c r="K142" s="4"/>
      <c r="L142" s="4"/>
      <c r="M142" s="4"/>
      <c r="N142" s="4"/>
      <c r="O142" s="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2">
        <f t="shared" si="0"/>
        <v>315</v>
      </c>
      <c r="J143" s="2">
        <f t="shared" si="1"/>
        <v>56.799999999999777</v>
      </c>
      <c r="K143" s="4"/>
      <c r="L143" s="4"/>
      <c r="M143" s="4"/>
      <c r="N143" s="4"/>
      <c r="O143" s="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2">
        <f t="shared" si="0"/>
        <v>320</v>
      </c>
      <c r="J144" s="2">
        <f t="shared" si="1"/>
        <v>56.399999999999778</v>
      </c>
      <c r="K144" s="4"/>
      <c r="L144" s="4"/>
      <c r="M144" s="4"/>
      <c r="N144" s="4"/>
      <c r="O144" s="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2">
        <f t="shared" si="0"/>
        <v>325</v>
      </c>
      <c r="J145" s="2">
        <f t="shared" si="1"/>
        <v>55.99999999999978</v>
      </c>
      <c r="K145" s="4"/>
      <c r="L145" s="4"/>
      <c r="M145" s="4"/>
      <c r="N145" s="4"/>
      <c r="O145" s="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2">
        <f t="shared" si="0"/>
        <v>330</v>
      </c>
      <c r="J146" s="2">
        <f t="shared" si="1"/>
        <v>55.599999999999781</v>
      </c>
      <c r="K146" s="4"/>
      <c r="L146" s="4"/>
      <c r="M146" s="4"/>
      <c r="N146" s="4"/>
      <c r="O146" s="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2">
        <f t="shared" si="0"/>
        <v>335</v>
      </c>
      <c r="J147" s="2">
        <f t="shared" si="1"/>
        <v>55.199999999999783</v>
      </c>
      <c r="K147" s="4"/>
      <c r="L147" s="4"/>
      <c r="M147" s="4"/>
      <c r="N147" s="4"/>
      <c r="O147" s="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2">
        <f t="shared" si="0"/>
        <v>340</v>
      </c>
      <c r="J148" s="2">
        <f t="shared" si="1"/>
        <v>54.799999999999784</v>
      </c>
      <c r="K148" s="4"/>
      <c r="L148" s="4"/>
      <c r="M148" s="4"/>
      <c r="N148" s="4"/>
      <c r="O148" s="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2">
        <f t="shared" si="0"/>
        <v>345</v>
      </c>
      <c r="J149" s="2">
        <f t="shared" si="1"/>
        <v>54.399999999999785</v>
      </c>
      <c r="K149" s="4"/>
      <c r="L149" s="4"/>
      <c r="M149" s="4"/>
      <c r="N149" s="4"/>
      <c r="O149" s="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2">
        <f t="shared" si="0"/>
        <v>350</v>
      </c>
      <c r="J150" s="2">
        <f t="shared" si="1"/>
        <v>53.999999999999787</v>
      </c>
      <c r="K150" s="4"/>
      <c r="L150" s="4"/>
      <c r="M150" s="4"/>
      <c r="N150" s="4"/>
      <c r="O150" s="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2">
        <f t="shared" si="0"/>
        <v>355</v>
      </c>
      <c r="J151" s="2">
        <f t="shared" si="1"/>
        <v>53.599999999999788</v>
      </c>
      <c r="K151" s="4"/>
      <c r="L151" s="4"/>
      <c r="M151" s="4"/>
      <c r="N151" s="4"/>
      <c r="O151" s="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2">
        <f t="shared" si="0"/>
        <v>360</v>
      </c>
      <c r="J152" s="2">
        <f t="shared" si="1"/>
        <v>53.19999999999979</v>
      </c>
      <c r="K152" s="4"/>
      <c r="L152" s="4"/>
      <c r="M152" s="4"/>
      <c r="N152" s="4"/>
      <c r="O152" s="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5" t="s">
        <v>27</v>
      </c>
      <c r="B153" s="3" t="s">
        <v>16</v>
      </c>
      <c r="C153" s="3">
        <v>20</v>
      </c>
      <c r="D153" s="3" t="s">
        <v>28</v>
      </c>
      <c r="E153" s="3">
        <v>800</v>
      </c>
      <c r="F153" s="3">
        <v>1</v>
      </c>
      <c r="G153" s="3">
        <v>85</v>
      </c>
      <c r="H153" s="3">
        <v>80</v>
      </c>
      <c r="I153" s="2">
        <v>0</v>
      </c>
      <c r="J153" s="2">
        <v>85</v>
      </c>
      <c r="K153" s="3">
        <v>0.8</v>
      </c>
      <c r="L153" s="3">
        <v>0.3</v>
      </c>
      <c r="M153" s="3">
        <v>24.3</v>
      </c>
      <c r="N153" s="3">
        <v>0.17</v>
      </c>
      <c r="O153" s="3">
        <v>31.7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2">
        <f t="shared" ref="I154:I225" si="2">I153+5</f>
        <v>5</v>
      </c>
      <c r="J154" s="2">
        <v>84.9</v>
      </c>
      <c r="K154" s="4"/>
      <c r="L154" s="4"/>
      <c r="M154" s="4"/>
      <c r="N154" s="4"/>
      <c r="O154" s="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4"/>
      <c r="B155" s="4"/>
      <c r="C155" s="4"/>
      <c r="D155" s="4"/>
      <c r="E155" s="4"/>
      <c r="F155" s="4"/>
      <c r="G155" s="4"/>
      <c r="H155" s="4"/>
      <c r="I155" s="2">
        <f t="shared" si="2"/>
        <v>10</v>
      </c>
      <c r="J155" s="2">
        <v>84.8</v>
      </c>
      <c r="K155" s="4"/>
      <c r="L155" s="4"/>
      <c r="M155" s="4"/>
      <c r="N155" s="4"/>
      <c r="O155" s="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4"/>
      <c r="B156" s="4"/>
      <c r="C156" s="4"/>
      <c r="D156" s="4"/>
      <c r="E156" s="4"/>
      <c r="F156" s="4"/>
      <c r="G156" s="4"/>
      <c r="H156" s="4"/>
      <c r="I156" s="2">
        <f t="shared" si="2"/>
        <v>15</v>
      </c>
      <c r="J156" s="2">
        <f t="shared" ref="J156:J157" si="3">J155-0.2</f>
        <v>84.6</v>
      </c>
      <c r="K156" s="4"/>
      <c r="L156" s="4"/>
      <c r="M156" s="4"/>
      <c r="N156" s="4"/>
      <c r="O156" s="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4"/>
      <c r="B157" s="4"/>
      <c r="C157" s="4"/>
      <c r="D157" s="4"/>
      <c r="E157" s="4"/>
      <c r="F157" s="4"/>
      <c r="G157" s="4"/>
      <c r="H157" s="4"/>
      <c r="I157" s="2">
        <f t="shared" si="2"/>
        <v>20</v>
      </c>
      <c r="J157" s="2">
        <f t="shared" si="3"/>
        <v>84.399999999999991</v>
      </c>
      <c r="K157" s="4"/>
      <c r="L157" s="4"/>
      <c r="M157" s="4"/>
      <c r="N157" s="4"/>
      <c r="O157" s="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4"/>
      <c r="B158" s="4"/>
      <c r="C158" s="4"/>
      <c r="D158" s="4"/>
      <c r="E158" s="4"/>
      <c r="F158" s="4"/>
      <c r="G158" s="4"/>
      <c r="H158" s="4"/>
      <c r="I158" s="2">
        <f t="shared" si="2"/>
        <v>25</v>
      </c>
      <c r="J158" s="2">
        <f t="shared" ref="J158:J225" si="4">J157-0.4</f>
        <v>83.999999999999986</v>
      </c>
      <c r="K158" s="4"/>
      <c r="L158" s="4"/>
      <c r="M158" s="4"/>
      <c r="N158" s="4"/>
      <c r="O158" s="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4"/>
      <c r="B159" s="4"/>
      <c r="C159" s="4"/>
      <c r="D159" s="4"/>
      <c r="E159" s="4"/>
      <c r="F159" s="4"/>
      <c r="G159" s="4"/>
      <c r="H159" s="4"/>
      <c r="I159" s="2">
        <f t="shared" si="2"/>
        <v>30</v>
      </c>
      <c r="J159" s="2">
        <f t="shared" si="4"/>
        <v>83.59999999999998</v>
      </c>
      <c r="K159" s="4"/>
      <c r="L159" s="4"/>
      <c r="M159" s="4"/>
      <c r="N159" s="4"/>
      <c r="O159" s="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4"/>
      <c r="B160" s="4"/>
      <c r="C160" s="4"/>
      <c r="D160" s="4"/>
      <c r="E160" s="4"/>
      <c r="F160" s="4"/>
      <c r="G160" s="4"/>
      <c r="H160" s="4"/>
      <c r="I160" s="2">
        <f t="shared" si="2"/>
        <v>35</v>
      </c>
      <c r="J160" s="2">
        <f t="shared" si="4"/>
        <v>83.199999999999974</v>
      </c>
      <c r="K160" s="4"/>
      <c r="L160" s="4"/>
      <c r="M160" s="4"/>
      <c r="N160" s="4"/>
      <c r="O160" s="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4"/>
      <c r="B161" s="4"/>
      <c r="C161" s="4"/>
      <c r="D161" s="4"/>
      <c r="E161" s="4"/>
      <c r="F161" s="4"/>
      <c r="G161" s="4"/>
      <c r="H161" s="4"/>
      <c r="I161" s="2">
        <f t="shared" si="2"/>
        <v>40</v>
      </c>
      <c r="J161" s="2">
        <f t="shared" si="4"/>
        <v>82.799999999999969</v>
      </c>
      <c r="K161" s="4"/>
      <c r="L161" s="4"/>
      <c r="M161" s="4"/>
      <c r="N161" s="4"/>
      <c r="O161" s="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4"/>
      <c r="B162" s="4"/>
      <c r="C162" s="4"/>
      <c r="D162" s="4"/>
      <c r="E162" s="4"/>
      <c r="F162" s="4"/>
      <c r="G162" s="4"/>
      <c r="H162" s="4"/>
      <c r="I162" s="2">
        <f t="shared" si="2"/>
        <v>45</v>
      </c>
      <c r="J162" s="2">
        <f t="shared" si="4"/>
        <v>82.399999999999963</v>
      </c>
      <c r="K162" s="4"/>
      <c r="L162" s="4"/>
      <c r="M162" s="4"/>
      <c r="N162" s="4"/>
      <c r="O162" s="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4"/>
      <c r="B163" s="4"/>
      <c r="C163" s="4"/>
      <c r="D163" s="4"/>
      <c r="E163" s="4"/>
      <c r="F163" s="4"/>
      <c r="G163" s="4"/>
      <c r="H163" s="4"/>
      <c r="I163" s="2">
        <f t="shared" si="2"/>
        <v>50</v>
      </c>
      <c r="J163" s="2">
        <f t="shared" si="4"/>
        <v>81.999999999999957</v>
      </c>
      <c r="K163" s="4"/>
      <c r="L163" s="4"/>
      <c r="M163" s="4"/>
      <c r="N163" s="4"/>
      <c r="O163" s="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4"/>
      <c r="B164" s="4"/>
      <c r="C164" s="4"/>
      <c r="D164" s="4"/>
      <c r="E164" s="4"/>
      <c r="F164" s="4"/>
      <c r="G164" s="4"/>
      <c r="H164" s="4"/>
      <c r="I164" s="2">
        <f t="shared" si="2"/>
        <v>55</v>
      </c>
      <c r="J164" s="2">
        <f t="shared" si="4"/>
        <v>81.599999999999952</v>
      </c>
      <c r="K164" s="4"/>
      <c r="L164" s="4"/>
      <c r="M164" s="4"/>
      <c r="N164" s="4"/>
      <c r="O164" s="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4"/>
      <c r="B165" s="4"/>
      <c r="C165" s="4"/>
      <c r="D165" s="4"/>
      <c r="E165" s="4"/>
      <c r="F165" s="4"/>
      <c r="G165" s="4"/>
      <c r="H165" s="4"/>
      <c r="I165" s="2">
        <f t="shared" si="2"/>
        <v>60</v>
      </c>
      <c r="J165" s="2">
        <f t="shared" si="4"/>
        <v>81.199999999999946</v>
      </c>
      <c r="K165" s="4"/>
      <c r="L165" s="4"/>
      <c r="M165" s="4"/>
      <c r="N165" s="4"/>
      <c r="O165" s="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4"/>
      <c r="B166" s="4"/>
      <c r="C166" s="4"/>
      <c r="D166" s="4"/>
      <c r="E166" s="4"/>
      <c r="F166" s="4"/>
      <c r="G166" s="4"/>
      <c r="H166" s="4"/>
      <c r="I166" s="2">
        <f t="shared" si="2"/>
        <v>65</v>
      </c>
      <c r="J166" s="2">
        <f t="shared" si="4"/>
        <v>80.79999999999994</v>
      </c>
      <c r="K166" s="4"/>
      <c r="L166" s="4"/>
      <c r="M166" s="4"/>
      <c r="N166" s="4"/>
      <c r="O166" s="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4"/>
      <c r="B167" s="4"/>
      <c r="C167" s="4"/>
      <c r="D167" s="4"/>
      <c r="E167" s="4"/>
      <c r="F167" s="4"/>
      <c r="G167" s="4"/>
      <c r="H167" s="4"/>
      <c r="I167" s="2">
        <f t="shared" si="2"/>
        <v>70</v>
      </c>
      <c r="J167" s="2">
        <f t="shared" si="4"/>
        <v>80.399999999999935</v>
      </c>
      <c r="K167" s="4"/>
      <c r="L167" s="4"/>
      <c r="M167" s="4"/>
      <c r="N167" s="4"/>
      <c r="O167" s="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4"/>
      <c r="B168" s="4"/>
      <c r="C168" s="4"/>
      <c r="D168" s="4"/>
      <c r="E168" s="4"/>
      <c r="F168" s="4"/>
      <c r="G168" s="4"/>
      <c r="H168" s="4"/>
      <c r="I168" s="2">
        <f t="shared" si="2"/>
        <v>75</v>
      </c>
      <c r="J168" s="2">
        <f t="shared" si="4"/>
        <v>79.999999999999929</v>
      </c>
      <c r="K168" s="4"/>
      <c r="L168" s="4"/>
      <c r="M168" s="4"/>
      <c r="N168" s="4"/>
      <c r="O168" s="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4"/>
      <c r="B169" s="4"/>
      <c r="C169" s="4"/>
      <c r="D169" s="4"/>
      <c r="E169" s="4"/>
      <c r="F169" s="4"/>
      <c r="G169" s="4"/>
      <c r="H169" s="4"/>
      <c r="I169" s="2">
        <f t="shared" si="2"/>
        <v>80</v>
      </c>
      <c r="J169" s="2">
        <f t="shared" si="4"/>
        <v>79.599999999999923</v>
      </c>
      <c r="K169" s="4"/>
      <c r="L169" s="4"/>
      <c r="M169" s="4"/>
      <c r="N169" s="4"/>
      <c r="O169" s="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4"/>
      <c r="B170" s="4"/>
      <c r="C170" s="4"/>
      <c r="D170" s="4"/>
      <c r="E170" s="4"/>
      <c r="F170" s="4"/>
      <c r="G170" s="4"/>
      <c r="H170" s="4"/>
      <c r="I170" s="2">
        <f t="shared" si="2"/>
        <v>85</v>
      </c>
      <c r="J170" s="2">
        <f t="shared" si="4"/>
        <v>79.199999999999918</v>
      </c>
      <c r="K170" s="4"/>
      <c r="L170" s="4"/>
      <c r="M170" s="4"/>
      <c r="N170" s="4"/>
      <c r="O170" s="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4"/>
      <c r="B171" s="4"/>
      <c r="C171" s="4"/>
      <c r="D171" s="4"/>
      <c r="E171" s="4"/>
      <c r="F171" s="4"/>
      <c r="G171" s="4"/>
      <c r="H171" s="4"/>
      <c r="I171" s="2">
        <f t="shared" si="2"/>
        <v>90</v>
      </c>
      <c r="J171" s="2">
        <f t="shared" si="4"/>
        <v>78.799999999999912</v>
      </c>
      <c r="K171" s="4"/>
      <c r="L171" s="4"/>
      <c r="M171" s="4"/>
      <c r="N171" s="4"/>
      <c r="O171" s="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4"/>
      <c r="B172" s="4"/>
      <c r="C172" s="4"/>
      <c r="D172" s="4"/>
      <c r="E172" s="4"/>
      <c r="F172" s="4"/>
      <c r="G172" s="4"/>
      <c r="H172" s="4"/>
      <c r="I172" s="2">
        <f t="shared" si="2"/>
        <v>95</v>
      </c>
      <c r="J172" s="2">
        <f t="shared" si="4"/>
        <v>78.399999999999906</v>
      </c>
      <c r="K172" s="4"/>
      <c r="L172" s="4"/>
      <c r="M172" s="4"/>
      <c r="N172" s="4"/>
      <c r="O172" s="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4"/>
      <c r="B173" s="4"/>
      <c r="C173" s="4"/>
      <c r="D173" s="4"/>
      <c r="E173" s="4"/>
      <c r="F173" s="4"/>
      <c r="G173" s="4"/>
      <c r="H173" s="4"/>
      <c r="I173" s="2">
        <f t="shared" si="2"/>
        <v>100</v>
      </c>
      <c r="J173" s="2">
        <f t="shared" si="4"/>
        <v>77.999999999999901</v>
      </c>
      <c r="K173" s="4"/>
      <c r="L173" s="4"/>
      <c r="M173" s="4"/>
      <c r="N173" s="4"/>
      <c r="O173" s="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4"/>
      <c r="B174" s="4"/>
      <c r="C174" s="4"/>
      <c r="D174" s="4"/>
      <c r="E174" s="4"/>
      <c r="F174" s="4"/>
      <c r="G174" s="4"/>
      <c r="H174" s="4"/>
      <c r="I174" s="2">
        <f t="shared" si="2"/>
        <v>105</v>
      </c>
      <c r="J174" s="2">
        <f t="shared" si="4"/>
        <v>77.599999999999895</v>
      </c>
      <c r="K174" s="4"/>
      <c r="L174" s="4"/>
      <c r="M174" s="4"/>
      <c r="N174" s="4"/>
      <c r="O174" s="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4"/>
      <c r="B175" s="4"/>
      <c r="C175" s="4"/>
      <c r="D175" s="4"/>
      <c r="E175" s="4"/>
      <c r="F175" s="4"/>
      <c r="G175" s="4"/>
      <c r="H175" s="4"/>
      <c r="I175" s="2">
        <f t="shared" si="2"/>
        <v>110</v>
      </c>
      <c r="J175" s="2">
        <f t="shared" si="4"/>
        <v>77.199999999999889</v>
      </c>
      <c r="K175" s="4"/>
      <c r="L175" s="4"/>
      <c r="M175" s="4"/>
      <c r="N175" s="4"/>
      <c r="O175" s="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4"/>
      <c r="B176" s="4"/>
      <c r="C176" s="4"/>
      <c r="D176" s="4"/>
      <c r="E176" s="4"/>
      <c r="F176" s="4"/>
      <c r="G176" s="4"/>
      <c r="H176" s="4"/>
      <c r="I176" s="2">
        <f t="shared" si="2"/>
        <v>115</v>
      </c>
      <c r="J176" s="2">
        <f t="shared" si="4"/>
        <v>76.799999999999883</v>
      </c>
      <c r="K176" s="4"/>
      <c r="L176" s="4"/>
      <c r="M176" s="4"/>
      <c r="N176" s="4"/>
      <c r="O176" s="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4"/>
      <c r="B177" s="4"/>
      <c r="C177" s="4"/>
      <c r="D177" s="4"/>
      <c r="E177" s="4"/>
      <c r="F177" s="4"/>
      <c r="G177" s="4"/>
      <c r="H177" s="4"/>
      <c r="I177" s="2">
        <f t="shared" si="2"/>
        <v>120</v>
      </c>
      <c r="J177" s="2">
        <f t="shared" si="4"/>
        <v>76.399999999999878</v>
      </c>
      <c r="K177" s="4"/>
      <c r="L177" s="4"/>
      <c r="M177" s="4"/>
      <c r="N177" s="4"/>
      <c r="O177" s="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4"/>
      <c r="B178" s="4"/>
      <c r="C178" s="4"/>
      <c r="D178" s="4"/>
      <c r="E178" s="4"/>
      <c r="F178" s="4"/>
      <c r="G178" s="4"/>
      <c r="H178" s="4"/>
      <c r="I178" s="2">
        <f t="shared" si="2"/>
        <v>125</v>
      </c>
      <c r="J178" s="2">
        <f t="shared" si="4"/>
        <v>75.999999999999872</v>
      </c>
      <c r="K178" s="4"/>
      <c r="L178" s="4"/>
      <c r="M178" s="4"/>
      <c r="N178" s="4"/>
      <c r="O178" s="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4"/>
      <c r="B179" s="4"/>
      <c r="C179" s="4"/>
      <c r="D179" s="4"/>
      <c r="E179" s="4"/>
      <c r="F179" s="4"/>
      <c r="G179" s="4"/>
      <c r="H179" s="4"/>
      <c r="I179" s="2">
        <f t="shared" si="2"/>
        <v>130</v>
      </c>
      <c r="J179" s="2">
        <f t="shared" si="4"/>
        <v>75.599999999999866</v>
      </c>
      <c r="K179" s="4"/>
      <c r="L179" s="4"/>
      <c r="M179" s="4"/>
      <c r="N179" s="4"/>
      <c r="O179" s="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4"/>
      <c r="B180" s="4"/>
      <c r="C180" s="4"/>
      <c r="D180" s="4"/>
      <c r="E180" s="4"/>
      <c r="F180" s="4"/>
      <c r="G180" s="4"/>
      <c r="H180" s="4"/>
      <c r="I180" s="2">
        <f t="shared" si="2"/>
        <v>135</v>
      </c>
      <c r="J180" s="2">
        <f t="shared" si="4"/>
        <v>75.199999999999861</v>
      </c>
      <c r="K180" s="4"/>
      <c r="L180" s="4"/>
      <c r="M180" s="4"/>
      <c r="N180" s="4"/>
      <c r="O180" s="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4"/>
      <c r="B181" s="4"/>
      <c r="C181" s="4"/>
      <c r="D181" s="4"/>
      <c r="E181" s="4"/>
      <c r="F181" s="4"/>
      <c r="G181" s="4"/>
      <c r="H181" s="4"/>
      <c r="I181" s="2">
        <f t="shared" si="2"/>
        <v>140</v>
      </c>
      <c r="J181" s="2">
        <f t="shared" si="4"/>
        <v>74.799999999999855</v>
      </c>
      <c r="K181" s="4"/>
      <c r="L181" s="4"/>
      <c r="M181" s="4"/>
      <c r="N181" s="4"/>
      <c r="O181" s="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4"/>
      <c r="B182" s="4"/>
      <c r="C182" s="4"/>
      <c r="D182" s="4"/>
      <c r="E182" s="4"/>
      <c r="F182" s="4"/>
      <c r="G182" s="4"/>
      <c r="H182" s="4"/>
      <c r="I182" s="2">
        <f t="shared" si="2"/>
        <v>145</v>
      </c>
      <c r="J182" s="2">
        <f t="shared" si="4"/>
        <v>74.399999999999849</v>
      </c>
      <c r="K182" s="4"/>
      <c r="L182" s="4"/>
      <c r="M182" s="4"/>
      <c r="N182" s="4"/>
      <c r="O182" s="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4"/>
      <c r="B183" s="4"/>
      <c r="C183" s="4"/>
      <c r="D183" s="4"/>
      <c r="E183" s="4"/>
      <c r="F183" s="4"/>
      <c r="G183" s="4"/>
      <c r="H183" s="4"/>
      <c r="I183" s="2">
        <f t="shared" si="2"/>
        <v>150</v>
      </c>
      <c r="J183" s="2">
        <f t="shared" si="4"/>
        <v>73.999999999999844</v>
      </c>
      <c r="K183" s="4"/>
      <c r="L183" s="4"/>
      <c r="M183" s="4"/>
      <c r="N183" s="4"/>
      <c r="O183" s="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4"/>
      <c r="B184" s="4"/>
      <c r="C184" s="4"/>
      <c r="D184" s="4"/>
      <c r="E184" s="4"/>
      <c r="F184" s="4"/>
      <c r="G184" s="4"/>
      <c r="H184" s="4"/>
      <c r="I184" s="2">
        <f t="shared" si="2"/>
        <v>155</v>
      </c>
      <c r="J184" s="2">
        <f t="shared" si="4"/>
        <v>73.599999999999838</v>
      </c>
      <c r="K184" s="4"/>
      <c r="L184" s="4"/>
      <c r="M184" s="4"/>
      <c r="N184" s="4"/>
      <c r="O184" s="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4"/>
      <c r="B185" s="4"/>
      <c r="C185" s="4"/>
      <c r="D185" s="4"/>
      <c r="E185" s="4"/>
      <c r="F185" s="4"/>
      <c r="G185" s="4"/>
      <c r="H185" s="4"/>
      <c r="I185" s="2">
        <f t="shared" si="2"/>
        <v>160</v>
      </c>
      <c r="J185" s="2">
        <f t="shared" si="4"/>
        <v>73.199999999999832</v>
      </c>
      <c r="K185" s="4"/>
      <c r="L185" s="4"/>
      <c r="M185" s="4"/>
      <c r="N185" s="4"/>
      <c r="O185" s="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4"/>
      <c r="B186" s="4"/>
      <c r="C186" s="4"/>
      <c r="D186" s="4"/>
      <c r="E186" s="4"/>
      <c r="F186" s="4"/>
      <c r="G186" s="4"/>
      <c r="H186" s="4"/>
      <c r="I186" s="2">
        <f t="shared" si="2"/>
        <v>165</v>
      </c>
      <c r="J186" s="2">
        <f t="shared" si="4"/>
        <v>72.799999999999827</v>
      </c>
      <c r="K186" s="4"/>
      <c r="L186" s="4"/>
      <c r="M186" s="4"/>
      <c r="N186" s="4"/>
      <c r="O186" s="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4"/>
      <c r="B187" s="4"/>
      <c r="C187" s="4"/>
      <c r="D187" s="4"/>
      <c r="E187" s="4"/>
      <c r="F187" s="4"/>
      <c r="G187" s="4"/>
      <c r="H187" s="4"/>
      <c r="I187" s="2">
        <f t="shared" si="2"/>
        <v>170</v>
      </c>
      <c r="J187" s="2">
        <f t="shared" si="4"/>
        <v>72.399999999999821</v>
      </c>
      <c r="K187" s="4"/>
      <c r="L187" s="4"/>
      <c r="M187" s="4"/>
      <c r="N187" s="4"/>
      <c r="O187" s="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4"/>
      <c r="B188" s="4"/>
      <c r="C188" s="4"/>
      <c r="D188" s="4"/>
      <c r="E188" s="4"/>
      <c r="F188" s="4"/>
      <c r="G188" s="4"/>
      <c r="H188" s="4"/>
      <c r="I188" s="2">
        <f t="shared" si="2"/>
        <v>175</v>
      </c>
      <c r="J188" s="2">
        <f t="shared" si="4"/>
        <v>71.999999999999815</v>
      </c>
      <c r="K188" s="4"/>
      <c r="L188" s="4"/>
      <c r="M188" s="4"/>
      <c r="N188" s="4"/>
      <c r="O188" s="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4"/>
      <c r="B189" s="4"/>
      <c r="C189" s="4"/>
      <c r="D189" s="4"/>
      <c r="E189" s="4"/>
      <c r="F189" s="4"/>
      <c r="G189" s="4"/>
      <c r="H189" s="4"/>
      <c r="I189" s="2">
        <f t="shared" si="2"/>
        <v>180</v>
      </c>
      <c r="J189" s="2">
        <f t="shared" si="4"/>
        <v>71.59999999999981</v>
      </c>
      <c r="K189" s="4"/>
      <c r="L189" s="4"/>
      <c r="M189" s="4"/>
      <c r="N189" s="4"/>
      <c r="O189" s="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4"/>
      <c r="B190" s="4"/>
      <c r="C190" s="4"/>
      <c r="D190" s="4"/>
      <c r="E190" s="4"/>
      <c r="F190" s="4"/>
      <c r="G190" s="4"/>
      <c r="H190" s="4"/>
      <c r="I190" s="2">
        <f t="shared" si="2"/>
        <v>185</v>
      </c>
      <c r="J190" s="2">
        <f t="shared" si="4"/>
        <v>71.199999999999804</v>
      </c>
      <c r="K190" s="4"/>
      <c r="L190" s="4"/>
      <c r="M190" s="4"/>
      <c r="N190" s="4"/>
      <c r="O190" s="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4"/>
      <c r="B191" s="4"/>
      <c r="C191" s="4"/>
      <c r="D191" s="4"/>
      <c r="E191" s="4"/>
      <c r="F191" s="4"/>
      <c r="G191" s="4"/>
      <c r="H191" s="4"/>
      <c r="I191" s="2">
        <f t="shared" si="2"/>
        <v>190</v>
      </c>
      <c r="J191" s="2">
        <f t="shared" si="4"/>
        <v>70.799999999999798</v>
      </c>
      <c r="K191" s="4"/>
      <c r="L191" s="4"/>
      <c r="M191" s="4"/>
      <c r="N191" s="4"/>
      <c r="O191" s="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4"/>
      <c r="B192" s="4"/>
      <c r="C192" s="4"/>
      <c r="D192" s="4"/>
      <c r="E192" s="4"/>
      <c r="F192" s="4"/>
      <c r="G192" s="4"/>
      <c r="H192" s="4"/>
      <c r="I192" s="2">
        <f t="shared" si="2"/>
        <v>195</v>
      </c>
      <c r="J192" s="2">
        <f t="shared" si="4"/>
        <v>70.399999999999793</v>
      </c>
      <c r="K192" s="4"/>
      <c r="L192" s="4"/>
      <c r="M192" s="4"/>
      <c r="N192" s="4"/>
      <c r="O192" s="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4"/>
      <c r="B193" s="4"/>
      <c r="C193" s="4"/>
      <c r="D193" s="4"/>
      <c r="E193" s="4"/>
      <c r="F193" s="4"/>
      <c r="G193" s="4"/>
      <c r="H193" s="4"/>
      <c r="I193" s="2">
        <f t="shared" si="2"/>
        <v>200</v>
      </c>
      <c r="J193" s="2">
        <f t="shared" si="4"/>
        <v>69.999999999999787</v>
      </c>
      <c r="K193" s="4"/>
      <c r="L193" s="4"/>
      <c r="M193" s="4"/>
      <c r="N193" s="4"/>
      <c r="O193" s="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4"/>
      <c r="B194" s="4"/>
      <c r="C194" s="4"/>
      <c r="D194" s="4"/>
      <c r="E194" s="4"/>
      <c r="F194" s="4"/>
      <c r="G194" s="4"/>
      <c r="H194" s="4"/>
      <c r="I194" s="2">
        <f t="shared" si="2"/>
        <v>205</v>
      </c>
      <c r="J194" s="2">
        <f t="shared" si="4"/>
        <v>69.599999999999781</v>
      </c>
      <c r="K194" s="4"/>
      <c r="L194" s="4"/>
      <c r="M194" s="4"/>
      <c r="N194" s="4"/>
      <c r="O194" s="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4"/>
      <c r="B195" s="4"/>
      <c r="C195" s="4"/>
      <c r="D195" s="4"/>
      <c r="E195" s="4"/>
      <c r="F195" s="4"/>
      <c r="G195" s="4"/>
      <c r="H195" s="4"/>
      <c r="I195" s="2">
        <f t="shared" si="2"/>
        <v>210</v>
      </c>
      <c r="J195" s="2">
        <f t="shared" si="4"/>
        <v>69.199999999999775</v>
      </c>
      <c r="K195" s="4"/>
      <c r="L195" s="4"/>
      <c r="M195" s="4"/>
      <c r="N195" s="4"/>
      <c r="O195" s="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4"/>
      <c r="B196" s="4"/>
      <c r="C196" s="4"/>
      <c r="D196" s="4"/>
      <c r="E196" s="4"/>
      <c r="F196" s="4"/>
      <c r="G196" s="4"/>
      <c r="H196" s="4"/>
      <c r="I196" s="2">
        <f t="shared" si="2"/>
        <v>215</v>
      </c>
      <c r="J196" s="2">
        <f t="shared" si="4"/>
        <v>68.79999999999977</v>
      </c>
      <c r="K196" s="4"/>
      <c r="L196" s="4"/>
      <c r="M196" s="4"/>
      <c r="N196" s="4"/>
      <c r="O196" s="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4"/>
      <c r="B197" s="4"/>
      <c r="C197" s="4"/>
      <c r="D197" s="4"/>
      <c r="E197" s="4"/>
      <c r="F197" s="4"/>
      <c r="G197" s="4"/>
      <c r="H197" s="4"/>
      <c r="I197" s="2">
        <f t="shared" si="2"/>
        <v>220</v>
      </c>
      <c r="J197" s="2">
        <f t="shared" si="4"/>
        <v>68.399999999999764</v>
      </c>
      <c r="K197" s="4"/>
      <c r="L197" s="4"/>
      <c r="M197" s="4"/>
      <c r="N197" s="4"/>
      <c r="O197" s="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4"/>
      <c r="B198" s="4"/>
      <c r="C198" s="4"/>
      <c r="D198" s="4"/>
      <c r="E198" s="4"/>
      <c r="F198" s="4"/>
      <c r="G198" s="4"/>
      <c r="H198" s="4"/>
      <c r="I198" s="2">
        <f t="shared" si="2"/>
        <v>225</v>
      </c>
      <c r="J198" s="2">
        <f t="shared" si="4"/>
        <v>67.999999999999758</v>
      </c>
      <c r="K198" s="4"/>
      <c r="L198" s="4"/>
      <c r="M198" s="4"/>
      <c r="N198" s="4"/>
      <c r="O198" s="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4"/>
      <c r="B199" s="4"/>
      <c r="C199" s="4"/>
      <c r="D199" s="4"/>
      <c r="E199" s="4"/>
      <c r="F199" s="4"/>
      <c r="G199" s="4"/>
      <c r="H199" s="4"/>
      <c r="I199" s="2">
        <f t="shared" si="2"/>
        <v>230</v>
      </c>
      <c r="J199" s="2">
        <f t="shared" si="4"/>
        <v>67.599999999999753</v>
      </c>
      <c r="K199" s="4"/>
      <c r="L199" s="4"/>
      <c r="M199" s="4"/>
      <c r="N199" s="4"/>
      <c r="O199" s="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4"/>
      <c r="B200" s="4"/>
      <c r="C200" s="4"/>
      <c r="D200" s="4"/>
      <c r="E200" s="4"/>
      <c r="F200" s="4"/>
      <c r="G200" s="4"/>
      <c r="H200" s="4"/>
      <c r="I200" s="2">
        <f t="shared" si="2"/>
        <v>235</v>
      </c>
      <c r="J200" s="2">
        <f t="shared" si="4"/>
        <v>67.199999999999747</v>
      </c>
      <c r="K200" s="4"/>
      <c r="L200" s="4"/>
      <c r="M200" s="4"/>
      <c r="N200" s="4"/>
      <c r="O200" s="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4"/>
      <c r="B201" s="4"/>
      <c r="C201" s="4"/>
      <c r="D201" s="4"/>
      <c r="E201" s="4"/>
      <c r="F201" s="4"/>
      <c r="G201" s="4"/>
      <c r="H201" s="4"/>
      <c r="I201" s="2">
        <f t="shared" si="2"/>
        <v>240</v>
      </c>
      <c r="J201" s="2">
        <f t="shared" si="4"/>
        <v>66.799999999999741</v>
      </c>
      <c r="K201" s="4"/>
      <c r="L201" s="4"/>
      <c r="M201" s="4"/>
      <c r="N201" s="4"/>
      <c r="O201" s="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4"/>
      <c r="B202" s="4"/>
      <c r="C202" s="4"/>
      <c r="D202" s="4"/>
      <c r="E202" s="4"/>
      <c r="F202" s="4"/>
      <c r="G202" s="4"/>
      <c r="H202" s="4"/>
      <c r="I202" s="2">
        <f t="shared" si="2"/>
        <v>245</v>
      </c>
      <c r="J202" s="2">
        <f t="shared" si="4"/>
        <v>66.399999999999736</v>
      </c>
      <c r="K202" s="4"/>
      <c r="L202" s="4"/>
      <c r="M202" s="4"/>
      <c r="N202" s="4"/>
      <c r="O202" s="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4"/>
      <c r="B203" s="4"/>
      <c r="C203" s="4"/>
      <c r="D203" s="4"/>
      <c r="E203" s="4"/>
      <c r="F203" s="4"/>
      <c r="G203" s="4"/>
      <c r="H203" s="4"/>
      <c r="I203" s="2">
        <f t="shared" si="2"/>
        <v>250</v>
      </c>
      <c r="J203" s="2">
        <f t="shared" si="4"/>
        <v>65.99999999999973</v>
      </c>
      <c r="K203" s="4"/>
      <c r="L203" s="4"/>
      <c r="M203" s="4"/>
      <c r="N203" s="4"/>
      <c r="O203" s="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4"/>
      <c r="B204" s="4"/>
      <c r="C204" s="4"/>
      <c r="D204" s="4"/>
      <c r="E204" s="4"/>
      <c r="F204" s="4"/>
      <c r="G204" s="4"/>
      <c r="H204" s="4"/>
      <c r="I204" s="2">
        <f t="shared" si="2"/>
        <v>255</v>
      </c>
      <c r="J204" s="2">
        <f t="shared" si="4"/>
        <v>65.599999999999724</v>
      </c>
      <c r="K204" s="4"/>
      <c r="L204" s="4"/>
      <c r="M204" s="4"/>
      <c r="N204" s="4"/>
      <c r="O204" s="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4"/>
      <c r="B205" s="4"/>
      <c r="C205" s="4"/>
      <c r="D205" s="4"/>
      <c r="E205" s="4"/>
      <c r="F205" s="4"/>
      <c r="G205" s="4"/>
      <c r="H205" s="4"/>
      <c r="I205" s="2">
        <f t="shared" si="2"/>
        <v>260</v>
      </c>
      <c r="J205" s="2">
        <f t="shared" si="4"/>
        <v>65.199999999999719</v>
      </c>
      <c r="K205" s="4"/>
      <c r="L205" s="4"/>
      <c r="M205" s="4"/>
      <c r="N205" s="4"/>
      <c r="O205" s="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4"/>
      <c r="B206" s="4"/>
      <c r="C206" s="4"/>
      <c r="D206" s="4"/>
      <c r="E206" s="4"/>
      <c r="F206" s="4"/>
      <c r="G206" s="4"/>
      <c r="H206" s="4"/>
      <c r="I206" s="2">
        <f t="shared" si="2"/>
        <v>265</v>
      </c>
      <c r="J206" s="2">
        <f t="shared" si="4"/>
        <v>64.799999999999713</v>
      </c>
      <c r="K206" s="4"/>
      <c r="L206" s="4"/>
      <c r="M206" s="4"/>
      <c r="N206" s="4"/>
      <c r="O206" s="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4"/>
      <c r="B207" s="4"/>
      <c r="C207" s="4"/>
      <c r="D207" s="4"/>
      <c r="E207" s="4"/>
      <c r="F207" s="4"/>
      <c r="G207" s="4"/>
      <c r="H207" s="4"/>
      <c r="I207" s="2">
        <f t="shared" si="2"/>
        <v>270</v>
      </c>
      <c r="J207" s="2">
        <f t="shared" si="4"/>
        <v>64.399999999999707</v>
      </c>
      <c r="K207" s="4"/>
      <c r="L207" s="4"/>
      <c r="M207" s="4"/>
      <c r="N207" s="4"/>
      <c r="O207" s="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4"/>
      <c r="B208" s="4"/>
      <c r="C208" s="4"/>
      <c r="D208" s="4"/>
      <c r="E208" s="4"/>
      <c r="F208" s="4"/>
      <c r="G208" s="4"/>
      <c r="H208" s="4"/>
      <c r="I208" s="2">
        <f t="shared" si="2"/>
        <v>275</v>
      </c>
      <c r="J208" s="2">
        <f t="shared" si="4"/>
        <v>63.999999999999709</v>
      </c>
      <c r="K208" s="4"/>
      <c r="L208" s="4"/>
      <c r="M208" s="4"/>
      <c r="N208" s="4"/>
      <c r="O208" s="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4"/>
      <c r="B209" s="4"/>
      <c r="C209" s="4"/>
      <c r="D209" s="4"/>
      <c r="E209" s="4"/>
      <c r="F209" s="4"/>
      <c r="G209" s="4"/>
      <c r="H209" s="4"/>
      <c r="I209" s="2">
        <f t="shared" si="2"/>
        <v>280</v>
      </c>
      <c r="J209" s="2">
        <f t="shared" si="4"/>
        <v>63.59999999999971</v>
      </c>
      <c r="K209" s="4"/>
      <c r="L209" s="4"/>
      <c r="M209" s="4"/>
      <c r="N209" s="4"/>
      <c r="O209" s="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4"/>
      <c r="B210" s="4"/>
      <c r="C210" s="4"/>
      <c r="D210" s="4"/>
      <c r="E210" s="4"/>
      <c r="F210" s="4"/>
      <c r="G210" s="4"/>
      <c r="H210" s="4"/>
      <c r="I210" s="2">
        <f t="shared" si="2"/>
        <v>285</v>
      </c>
      <c r="J210" s="2">
        <f t="shared" si="4"/>
        <v>63.199999999999712</v>
      </c>
      <c r="K210" s="4"/>
      <c r="L210" s="4"/>
      <c r="M210" s="4"/>
      <c r="N210" s="4"/>
      <c r="O210" s="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4"/>
      <c r="B211" s="4"/>
      <c r="C211" s="4"/>
      <c r="D211" s="4"/>
      <c r="E211" s="4"/>
      <c r="F211" s="4"/>
      <c r="G211" s="4"/>
      <c r="H211" s="4"/>
      <c r="I211" s="2">
        <f t="shared" si="2"/>
        <v>290</v>
      </c>
      <c r="J211" s="2">
        <f t="shared" si="4"/>
        <v>62.799999999999713</v>
      </c>
      <c r="K211" s="4"/>
      <c r="L211" s="4"/>
      <c r="M211" s="4"/>
      <c r="N211" s="4"/>
      <c r="O211" s="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4"/>
      <c r="B212" s="4"/>
      <c r="C212" s="4"/>
      <c r="D212" s="4"/>
      <c r="E212" s="4"/>
      <c r="F212" s="4"/>
      <c r="G212" s="4"/>
      <c r="H212" s="4"/>
      <c r="I212" s="2">
        <f t="shared" si="2"/>
        <v>295</v>
      </c>
      <c r="J212" s="2">
        <f t="shared" si="4"/>
        <v>62.399999999999714</v>
      </c>
      <c r="K212" s="4"/>
      <c r="L212" s="4"/>
      <c r="M212" s="4"/>
      <c r="N212" s="4"/>
      <c r="O212" s="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4"/>
      <c r="B213" s="4"/>
      <c r="C213" s="4"/>
      <c r="D213" s="4"/>
      <c r="E213" s="4"/>
      <c r="F213" s="4"/>
      <c r="G213" s="4"/>
      <c r="H213" s="4"/>
      <c r="I213" s="2">
        <f t="shared" si="2"/>
        <v>300</v>
      </c>
      <c r="J213" s="2">
        <f t="shared" si="4"/>
        <v>61.999999999999716</v>
      </c>
      <c r="K213" s="4"/>
      <c r="L213" s="4"/>
      <c r="M213" s="4"/>
      <c r="N213" s="4"/>
      <c r="O213" s="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4"/>
      <c r="B214" s="4"/>
      <c r="C214" s="4"/>
      <c r="D214" s="4"/>
      <c r="E214" s="4"/>
      <c r="F214" s="4"/>
      <c r="G214" s="4"/>
      <c r="H214" s="4"/>
      <c r="I214" s="2">
        <f t="shared" si="2"/>
        <v>305</v>
      </c>
      <c r="J214" s="2">
        <f t="shared" si="4"/>
        <v>61.599999999999717</v>
      </c>
      <c r="K214" s="4"/>
      <c r="L214" s="4"/>
      <c r="M214" s="4"/>
      <c r="N214" s="4"/>
      <c r="O214" s="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4"/>
      <c r="B215" s="4"/>
      <c r="C215" s="4"/>
      <c r="D215" s="4"/>
      <c r="E215" s="4"/>
      <c r="F215" s="4"/>
      <c r="G215" s="4"/>
      <c r="H215" s="4"/>
      <c r="I215" s="2">
        <f t="shared" si="2"/>
        <v>310</v>
      </c>
      <c r="J215" s="2">
        <f t="shared" si="4"/>
        <v>61.199999999999719</v>
      </c>
      <c r="K215" s="4"/>
      <c r="L215" s="4"/>
      <c r="M215" s="4"/>
      <c r="N215" s="4"/>
      <c r="O215" s="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4"/>
      <c r="B216" s="4"/>
      <c r="C216" s="4"/>
      <c r="D216" s="4"/>
      <c r="E216" s="4"/>
      <c r="F216" s="4"/>
      <c r="G216" s="4"/>
      <c r="H216" s="4"/>
      <c r="I216" s="2">
        <f t="shared" si="2"/>
        <v>315</v>
      </c>
      <c r="J216" s="2">
        <f t="shared" si="4"/>
        <v>60.79999999999972</v>
      </c>
      <c r="K216" s="4"/>
      <c r="L216" s="4"/>
      <c r="M216" s="4"/>
      <c r="N216" s="4"/>
      <c r="O216" s="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4"/>
      <c r="B217" s="4"/>
      <c r="C217" s="4"/>
      <c r="D217" s="4"/>
      <c r="E217" s="4"/>
      <c r="F217" s="4"/>
      <c r="G217" s="4"/>
      <c r="H217" s="4"/>
      <c r="I217" s="2">
        <f t="shared" si="2"/>
        <v>320</v>
      </c>
      <c r="J217" s="2">
        <f t="shared" si="4"/>
        <v>60.399999999999721</v>
      </c>
      <c r="K217" s="4"/>
      <c r="L217" s="4"/>
      <c r="M217" s="4"/>
      <c r="N217" s="4"/>
      <c r="O217" s="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4"/>
      <c r="B218" s="4"/>
      <c r="C218" s="4"/>
      <c r="D218" s="4"/>
      <c r="E218" s="4"/>
      <c r="F218" s="4"/>
      <c r="G218" s="4"/>
      <c r="H218" s="4"/>
      <c r="I218" s="2">
        <f t="shared" si="2"/>
        <v>325</v>
      </c>
      <c r="J218" s="2">
        <f t="shared" si="4"/>
        <v>59.999999999999723</v>
      </c>
      <c r="K218" s="4"/>
      <c r="L218" s="4"/>
      <c r="M218" s="4"/>
      <c r="N218" s="4"/>
      <c r="O218" s="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4"/>
      <c r="B219" s="4"/>
      <c r="C219" s="4"/>
      <c r="D219" s="4"/>
      <c r="E219" s="4"/>
      <c r="F219" s="4"/>
      <c r="G219" s="4"/>
      <c r="H219" s="4"/>
      <c r="I219" s="2">
        <f t="shared" si="2"/>
        <v>330</v>
      </c>
      <c r="J219" s="2">
        <f t="shared" si="4"/>
        <v>59.599999999999724</v>
      </c>
      <c r="K219" s="4"/>
      <c r="L219" s="4"/>
      <c r="M219" s="4"/>
      <c r="N219" s="4"/>
      <c r="O219" s="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4"/>
      <c r="B220" s="4"/>
      <c r="C220" s="4"/>
      <c r="D220" s="4"/>
      <c r="E220" s="4"/>
      <c r="F220" s="4"/>
      <c r="G220" s="4"/>
      <c r="H220" s="4"/>
      <c r="I220" s="2">
        <f t="shared" si="2"/>
        <v>335</v>
      </c>
      <c r="J220" s="2">
        <f t="shared" si="4"/>
        <v>59.199999999999726</v>
      </c>
      <c r="K220" s="4"/>
      <c r="L220" s="4"/>
      <c r="M220" s="4"/>
      <c r="N220" s="4"/>
      <c r="O220" s="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4"/>
      <c r="B221" s="4"/>
      <c r="C221" s="4"/>
      <c r="D221" s="4"/>
      <c r="E221" s="4"/>
      <c r="F221" s="4"/>
      <c r="G221" s="4"/>
      <c r="H221" s="4"/>
      <c r="I221" s="2">
        <f t="shared" si="2"/>
        <v>340</v>
      </c>
      <c r="J221" s="2">
        <f t="shared" si="4"/>
        <v>58.799999999999727</v>
      </c>
      <c r="K221" s="4"/>
      <c r="L221" s="4"/>
      <c r="M221" s="4"/>
      <c r="N221" s="4"/>
      <c r="O221" s="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4"/>
      <c r="B222" s="4"/>
      <c r="C222" s="4"/>
      <c r="D222" s="4"/>
      <c r="E222" s="4"/>
      <c r="F222" s="4"/>
      <c r="G222" s="4"/>
      <c r="H222" s="4"/>
      <c r="I222" s="2">
        <f t="shared" si="2"/>
        <v>345</v>
      </c>
      <c r="J222" s="2">
        <f t="shared" si="4"/>
        <v>58.399999999999729</v>
      </c>
      <c r="K222" s="4"/>
      <c r="L222" s="4"/>
      <c r="M222" s="4"/>
      <c r="N222" s="4"/>
      <c r="O222" s="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4"/>
      <c r="B223" s="4"/>
      <c r="C223" s="4"/>
      <c r="D223" s="4"/>
      <c r="E223" s="4"/>
      <c r="F223" s="4"/>
      <c r="G223" s="4"/>
      <c r="H223" s="4"/>
      <c r="I223" s="2">
        <f t="shared" si="2"/>
        <v>350</v>
      </c>
      <c r="J223" s="2">
        <f t="shared" si="4"/>
        <v>57.99999999999973</v>
      </c>
      <c r="K223" s="4"/>
      <c r="L223" s="4"/>
      <c r="M223" s="4"/>
      <c r="N223" s="4"/>
      <c r="O223" s="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4"/>
      <c r="B224" s="4"/>
      <c r="C224" s="4"/>
      <c r="D224" s="4"/>
      <c r="E224" s="4"/>
      <c r="F224" s="4"/>
      <c r="G224" s="4"/>
      <c r="H224" s="4"/>
      <c r="I224" s="2">
        <f t="shared" si="2"/>
        <v>355</v>
      </c>
      <c r="J224" s="2">
        <f t="shared" si="4"/>
        <v>57.599999999999731</v>
      </c>
      <c r="K224" s="4"/>
      <c r="L224" s="4"/>
      <c r="M224" s="4"/>
      <c r="N224" s="4"/>
      <c r="O224" s="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4"/>
      <c r="B225" s="4"/>
      <c r="C225" s="4"/>
      <c r="D225" s="4"/>
      <c r="E225" s="4"/>
      <c r="F225" s="4"/>
      <c r="G225" s="4"/>
      <c r="H225" s="4"/>
      <c r="I225" s="2">
        <f t="shared" si="2"/>
        <v>360</v>
      </c>
      <c r="J225" s="2">
        <f t="shared" si="4"/>
        <v>57.199999999999733</v>
      </c>
      <c r="K225" s="4"/>
      <c r="L225" s="4"/>
      <c r="M225" s="4"/>
      <c r="N225" s="4"/>
      <c r="O225" s="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5" t="s">
        <v>29</v>
      </c>
      <c r="B226" s="3" t="s">
        <v>16</v>
      </c>
      <c r="C226" s="3">
        <v>20</v>
      </c>
      <c r="D226" s="3" t="s">
        <v>30</v>
      </c>
      <c r="E226" s="3">
        <v>800</v>
      </c>
      <c r="F226" s="3">
        <v>1</v>
      </c>
      <c r="G226" s="3">
        <v>90</v>
      </c>
      <c r="H226" s="3">
        <v>90</v>
      </c>
      <c r="I226" s="2">
        <v>0</v>
      </c>
      <c r="J226" s="2">
        <v>90</v>
      </c>
      <c r="K226" s="3">
        <v>0</v>
      </c>
      <c r="L226" s="3">
        <v>0</v>
      </c>
      <c r="M226" s="3">
        <v>26.6</v>
      </c>
      <c r="N226" s="3">
        <v>0.13</v>
      </c>
      <c r="O226" s="3">
        <v>21.5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4"/>
      <c r="B227" s="4"/>
      <c r="C227" s="4"/>
      <c r="D227" s="4"/>
      <c r="E227" s="4"/>
      <c r="F227" s="4"/>
      <c r="G227" s="4"/>
      <c r="H227" s="4"/>
      <c r="I227" s="2">
        <f t="shared" ref="I227:I298" si="5">I226+5</f>
        <v>5</v>
      </c>
      <c r="J227" s="2">
        <v>90</v>
      </c>
      <c r="K227" s="4"/>
      <c r="L227" s="4"/>
      <c r="M227" s="4"/>
      <c r="N227" s="4"/>
      <c r="O227" s="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4"/>
      <c r="B228" s="4"/>
      <c r="C228" s="4"/>
      <c r="D228" s="4"/>
      <c r="E228" s="4"/>
      <c r="F228" s="4"/>
      <c r="G228" s="4"/>
      <c r="H228" s="4"/>
      <c r="I228" s="2">
        <f t="shared" si="5"/>
        <v>10</v>
      </c>
      <c r="J228" s="2">
        <v>90</v>
      </c>
      <c r="K228" s="4"/>
      <c r="L228" s="4"/>
      <c r="M228" s="4"/>
      <c r="N228" s="4"/>
      <c r="O228" s="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4"/>
      <c r="B229" s="4"/>
      <c r="C229" s="4"/>
      <c r="D229" s="4"/>
      <c r="E229" s="4"/>
      <c r="F229" s="4"/>
      <c r="G229" s="4"/>
      <c r="H229" s="4"/>
      <c r="I229" s="2">
        <f t="shared" si="5"/>
        <v>15</v>
      </c>
      <c r="J229" s="2">
        <v>90</v>
      </c>
      <c r="K229" s="4"/>
      <c r="L229" s="4"/>
      <c r="M229" s="4"/>
      <c r="N229" s="4"/>
      <c r="O229" s="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4"/>
      <c r="B230" s="4"/>
      <c r="C230" s="4"/>
      <c r="D230" s="4"/>
      <c r="E230" s="4"/>
      <c r="F230" s="4"/>
      <c r="G230" s="4"/>
      <c r="H230" s="4"/>
      <c r="I230" s="2">
        <f t="shared" si="5"/>
        <v>20</v>
      </c>
      <c r="J230" s="2">
        <v>90</v>
      </c>
      <c r="K230" s="4"/>
      <c r="L230" s="4"/>
      <c r="M230" s="4"/>
      <c r="N230" s="4"/>
      <c r="O230" s="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4"/>
      <c r="B231" s="4"/>
      <c r="C231" s="4"/>
      <c r="D231" s="4"/>
      <c r="E231" s="4"/>
      <c r="F231" s="4"/>
      <c r="G231" s="4"/>
      <c r="H231" s="4"/>
      <c r="I231" s="2">
        <f t="shared" si="5"/>
        <v>25</v>
      </c>
      <c r="J231" s="2">
        <v>90</v>
      </c>
      <c r="K231" s="4"/>
      <c r="L231" s="4"/>
      <c r="M231" s="4"/>
      <c r="N231" s="4"/>
      <c r="O231" s="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4"/>
      <c r="B232" s="4"/>
      <c r="C232" s="4"/>
      <c r="D232" s="4"/>
      <c r="E232" s="4"/>
      <c r="F232" s="4"/>
      <c r="G232" s="4"/>
      <c r="H232" s="4"/>
      <c r="I232" s="2">
        <f t="shared" si="5"/>
        <v>30</v>
      </c>
      <c r="J232" s="2">
        <v>90</v>
      </c>
      <c r="K232" s="4"/>
      <c r="L232" s="4"/>
      <c r="M232" s="4"/>
      <c r="N232" s="4"/>
      <c r="O232" s="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4"/>
      <c r="B233" s="4"/>
      <c r="C233" s="4"/>
      <c r="D233" s="4"/>
      <c r="E233" s="4"/>
      <c r="F233" s="4"/>
      <c r="G233" s="4"/>
      <c r="H233" s="4"/>
      <c r="I233" s="2">
        <f t="shared" si="5"/>
        <v>35</v>
      </c>
      <c r="J233" s="2">
        <v>90</v>
      </c>
      <c r="K233" s="4"/>
      <c r="L233" s="4"/>
      <c r="M233" s="4"/>
      <c r="N233" s="4"/>
      <c r="O233" s="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4"/>
      <c r="B234" s="4"/>
      <c r="C234" s="4"/>
      <c r="D234" s="4"/>
      <c r="E234" s="4"/>
      <c r="F234" s="4"/>
      <c r="G234" s="4"/>
      <c r="H234" s="4"/>
      <c r="I234" s="2">
        <f t="shared" si="5"/>
        <v>40</v>
      </c>
      <c r="J234" s="2">
        <v>90</v>
      </c>
      <c r="K234" s="4"/>
      <c r="L234" s="4"/>
      <c r="M234" s="4"/>
      <c r="N234" s="4"/>
      <c r="O234" s="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4"/>
      <c r="B235" s="4"/>
      <c r="C235" s="4"/>
      <c r="D235" s="4"/>
      <c r="E235" s="4"/>
      <c r="F235" s="4"/>
      <c r="G235" s="4"/>
      <c r="H235" s="4"/>
      <c r="I235" s="2">
        <f t="shared" si="5"/>
        <v>45</v>
      </c>
      <c r="J235" s="2">
        <v>90</v>
      </c>
      <c r="K235" s="4"/>
      <c r="L235" s="4"/>
      <c r="M235" s="4"/>
      <c r="N235" s="4"/>
      <c r="O235" s="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4"/>
      <c r="B236" s="4"/>
      <c r="C236" s="4"/>
      <c r="D236" s="4"/>
      <c r="E236" s="4"/>
      <c r="F236" s="4"/>
      <c r="G236" s="4"/>
      <c r="H236" s="4"/>
      <c r="I236" s="2">
        <f t="shared" si="5"/>
        <v>50</v>
      </c>
      <c r="J236" s="2">
        <v>90</v>
      </c>
      <c r="K236" s="4"/>
      <c r="L236" s="4"/>
      <c r="M236" s="4"/>
      <c r="N236" s="4"/>
      <c r="O236" s="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4"/>
      <c r="B237" s="4"/>
      <c r="C237" s="4"/>
      <c r="D237" s="4"/>
      <c r="E237" s="4"/>
      <c r="F237" s="4"/>
      <c r="G237" s="4"/>
      <c r="H237" s="4"/>
      <c r="I237" s="2">
        <f t="shared" si="5"/>
        <v>55</v>
      </c>
      <c r="J237" s="2">
        <v>90</v>
      </c>
      <c r="K237" s="4"/>
      <c r="L237" s="4"/>
      <c r="M237" s="4"/>
      <c r="N237" s="4"/>
      <c r="O237" s="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4"/>
      <c r="B238" s="4"/>
      <c r="C238" s="4"/>
      <c r="D238" s="4"/>
      <c r="E238" s="4"/>
      <c r="F238" s="4"/>
      <c r="G238" s="4"/>
      <c r="H238" s="4"/>
      <c r="I238" s="2">
        <f t="shared" si="5"/>
        <v>60</v>
      </c>
      <c r="J238" s="2">
        <v>90</v>
      </c>
      <c r="K238" s="4"/>
      <c r="L238" s="4"/>
      <c r="M238" s="4"/>
      <c r="N238" s="4"/>
      <c r="O238" s="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4"/>
      <c r="B239" s="4"/>
      <c r="C239" s="4"/>
      <c r="D239" s="4"/>
      <c r="E239" s="4"/>
      <c r="F239" s="4"/>
      <c r="G239" s="4"/>
      <c r="H239" s="4"/>
      <c r="I239" s="2">
        <f t="shared" si="5"/>
        <v>65</v>
      </c>
      <c r="J239" s="2">
        <v>90</v>
      </c>
      <c r="K239" s="4"/>
      <c r="L239" s="4"/>
      <c r="M239" s="4"/>
      <c r="N239" s="4"/>
      <c r="O239" s="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4"/>
      <c r="B240" s="4"/>
      <c r="C240" s="4"/>
      <c r="D240" s="4"/>
      <c r="E240" s="4"/>
      <c r="F240" s="4"/>
      <c r="G240" s="4"/>
      <c r="H240" s="4"/>
      <c r="I240" s="2">
        <f t="shared" si="5"/>
        <v>70</v>
      </c>
      <c r="J240" s="2">
        <v>90</v>
      </c>
      <c r="K240" s="4"/>
      <c r="L240" s="4"/>
      <c r="M240" s="4"/>
      <c r="N240" s="4"/>
      <c r="O240" s="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4"/>
      <c r="B241" s="4"/>
      <c r="C241" s="4"/>
      <c r="D241" s="4"/>
      <c r="E241" s="4"/>
      <c r="F241" s="4"/>
      <c r="G241" s="4"/>
      <c r="H241" s="4"/>
      <c r="I241" s="2">
        <f t="shared" si="5"/>
        <v>75</v>
      </c>
      <c r="J241" s="2">
        <v>90</v>
      </c>
      <c r="K241" s="4"/>
      <c r="L241" s="4"/>
      <c r="M241" s="4"/>
      <c r="N241" s="4"/>
      <c r="O241" s="4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4"/>
      <c r="B242" s="4"/>
      <c r="C242" s="4"/>
      <c r="D242" s="4"/>
      <c r="E242" s="4"/>
      <c r="F242" s="4"/>
      <c r="G242" s="4"/>
      <c r="H242" s="4"/>
      <c r="I242" s="2">
        <f t="shared" si="5"/>
        <v>80</v>
      </c>
      <c r="J242" s="2">
        <v>90</v>
      </c>
      <c r="K242" s="4"/>
      <c r="L242" s="4"/>
      <c r="M242" s="4"/>
      <c r="N242" s="4"/>
      <c r="O242" s="4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4"/>
      <c r="B243" s="4"/>
      <c r="C243" s="4"/>
      <c r="D243" s="4"/>
      <c r="E243" s="4"/>
      <c r="F243" s="4"/>
      <c r="G243" s="4"/>
      <c r="H243" s="4"/>
      <c r="I243" s="2">
        <f t="shared" si="5"/>
        <v>85</v>
      </c>
      <c r="J243" s="2">
        <v>90</v>
      </c>
      <c r="K243" s="4"/>
      <c r="L243" s="4"/>
      <c r="M243" s="4"/>
      <c r="N243" s="4"/>
      <c r="O243" s="4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4"/>
      <c r="B244" s="4"/>
      <c r="C244" s="4"/>
      <c r="D244" s="4"/>
      <c r="E244" s="4"/>
      <c r="F244" s="4"/>
      <c r="G244" s="4"/>
      <c r="H244" s="4"/>
      <c r="I244" s="2">
        <f t="shared" si="5"/>
        <v>90</v>
      </c>
      <c r="J244" s="2">
        <v>90</v>
      </c>
      <c r="K244" s="4"/>
      <c r="L244" s="4"/>
      <c r="M244" s="4"/>
      <c r="N244" s="4"/>
      <c r="O244" s="4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4"/>
      <c r="B245" s="4"/>
      <c r="C245" s="4"/>
      <c r="D245" s="4"/>
      <c r="E245" s="4"/>
      <c r="F245" s="4"/>
      <c r="G245" s="4"/>
      <c r="H245" s="4"/>
      <c r="I245" s="2">
        <f t="shared" si="5"/>
        <v>95</v>
      </c>
      <c r="J245" s="2">
        <v>90</v>
      </c>
      <c r="K245" s="4"/>
      <c r="L245" s="4"/>
      <c r="M245" s="4"/>
      <c r="N245" s="4"/>
      <c r="O245" s="4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4"/>
      <c r="B246" s="4"/>
      <c r="C246" s="4"/>
      <c r="D246" s="4"/>
      <c r="E246" s="4"/>
      <c r="F246" s="4"/>
      <c r="G246" s="4"/>
      <c r="H246" s="4"/>
      <c r="I246" s="2">
        <f t="shared" si="5"/>
        <v>100</v>
      </c>
      <c r="J246" s="2">
        <v>90</v>
      </c>
      <c r="K246" s="4"/>
      <c r="L246" s="4"/>
      <c r="M246" s="4"/>
      <c r="N246" s="4"/>
      <c r="O246" s="4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4"/>
      <c r="B247" s="4"/>
      <c r="C247" s="4"/>
      <c r="D247" s="4"/>
      <c r="E247" s="4"/>
      <c r="F247" s="4"/>
      <c r="G247" s="4"/>
      <c r="H247" s="4"/>
      <c r="I247" s="2">
        <f t="shared" si="5"/>
        <v>105</v>
      </c>
      <c r="J247" s="2">
        <v>90</v>
      </c>
      <c r="K247" s="4"/>
      <c r="L247" s="4"/>
      <c r="M247" s="4"/>
      <c r="N247" s="4"/>
      <c r="O247" s="4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4"/>
      <c r="B248" s="4"/>
      <c r="C248" s="4"/>
      <c r="D248" s="4"/>
      <c r="E248" s="4"/>
      <c r="F248" s="4"/>
      <c r="G248" s="4"/>
      <c r="H248" s="4"/>
      <c r="I248" s="2">
        <f t="shared" si="5"/>
        <v>110</v>
      </c>
      <c r="J248" s="2">
        <v>90</v>
      </c>
      <c r="K248" s="4"/>
      <c r="L248" s="4"/>
      <c r="M248" s="4"/>
      <c r="N248" s="4"/>
      <c r="O248" s="4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4"/>
      <c r="B249" s="4"/>
      <c r="C249" s="4"/>
      <c r="D249" s="4"/>
      <c r="E249" s="4"/>
      <c r="F249" s="4"/>
      <c r="G249" s="4"/>
      <c r="H249" s="4"/>
      <c r="I249" s="2">
        <f t="shared" si="5"/>
        <v>115</v>
      </c>
      <c r="J249" s="2">
        <v>90</v>
      </c>
      <c r="K249" s="4"/>
      <c r="L249" s="4"/>
      <c r="M249" s="4"/>
      <c r="N249" s="4"/>
      <c r="O249" s="4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4"/>
      <c r="B250" s="4"/>
      <c r="C250" s="4"/>
      <c r="D250" s="4"/>
      <c r="E250" s="4"/>
      <c r="F250" s="4"/>
      <c r="G250" s="4"/>
      <c r="H250" s="4"/>
      <c r="I250" s="2">
        <f t="shared" si="5"/>
        <v>120</v>
      </c>
      <c r="J250" s="2">
        <v>90</v>
      </c>
      <c r="K250" s="4"/>
      <c r="L250" s="4"/>
      <c r="M250" s="4"/>
      <c r="N250" s="4"/>
      <c r="O250" s="4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4"/>
      <c r="B251" s="4"/>
      <c r="C251" s="4"/>
      <c r="D251" s="4"/>
      <c r="E251" s="4"/>
      <c r="F251" s="4"/>
      <c r="G251" s="4"/>
      <c r="H251" s="4"/>
      <c r="I251" s="2">
        <f t="shared" si="5"/>
        <v>125</v>
      </c>
      <c r="J251" s="2">
        <v>90</v>
      </c>
      <c r="K251" s="4"/>
      <c r="L251" s="4"/>
      <c r="M251" s="4"/>
      <c r="N251" s="4"/>
      <c r="O251" s="4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4"/>
      <c r="B252" s="4"/>
      <c r="C252" s="4"/>
      <c r="D252" s="4"/>
      <c r="E252" s="4"/>
      <c r="F252" s="4"/>
      <c r="G252" s="4"/>
      <c r="H252" s="4"/>
      <c r="I252" s="2">
        <f t="shared" si="5"/>
        <v>130</v>
      </c>
      <c r="J252" s="2">
        <v>90</v>
      </c>
      <c r="K252" s="4"/>
      <c r="L252" s="4"/>
      <c r="M252" s="4"/>
      <c r="N252" s="4"/>
      <c r="O252" s="4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4"/>
      <c r="B253" s="4"/>
      <c r="C253" s="4"/>
      <c r="D253" s="4"/>
      <c r="E253" s="4"/>
      <c r="F253" s="4"/>
      <c r="G253" s="4"/>
      <c r="H253" s="4"/>
      <c r="I253" s="2">
        <f t="shared" si="5"/>
        <v>135</v>
      </c>
      <c r="J253" s="2">
        <v>90</v>
      </c>
      <c r="K253" s="4"/>
      <c r="L253" s="4"/>
      <c r="M253" s="4"/>
      <c r="N253" s="4"/>
      <c r="O253" s="4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4"/>
      <c r="B254" s="4"/>
      <c r="C254" s="4"/>
      <c r="D254" s="4"/>
      <c r="E254" s="4"/>
      <c r="F254" s="4"/>
      <c r="G254" s="4"/>
      <c r="H254" s="4"/>
      <c r="I254" s="2">
        <f t="shared" si="5"/>
        <v>140</v>
      </c>
      <c r="J254" s="2">
        <v>90</v>
      </c>
      <c r="K254" s="4"/>
      <c r="L254" s="4"/>
      <c r="M254" s="4"/>
      <c r="N254" s="4"/>
      <c r="O254" s="4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4"/>
      <c r="B255" s="4"/>
      <c r="C255" s="4"/>
      <c r="D255" s="4"/>
      <c r="E255" s="4"/>
      <c r="F255" s="4"/>
      <c r="G255" s="4"/>
      <c r="H255" s="4"/>
      <c r="I255" s="2">
        <f t="shared" si="5"/>
        <v>145</v>
      </c>
      <c r="J255" s="2">
        <v>90</v>
      </c>
      <c r="K255" s="4"/>
      <c r="L255" s="4"/>
      <c r="M255" s="4"/>
      <c r="N255" s="4"/>
      <c r="O255" s="4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4"/>
      <c r="B256" s="4"/>
      <c r="C256" s="4"/>
      <c r="D256" s="4"/>
      <c r="E256" s="4"/>
      <c r="F256" s="4"/>
      <c r="G256" s="4"/>
      <c r="H256" s="4"/>
      <c r="I256" s="2">
        <f t="shared" si="5"/>
        <v>150</v>
      </c>
      <c r="J256" s="2">
        <v>90</v>
      </c>
      <c r="K256" s="4"/>
      <c r="L256" s="4"/>
      <c r="M256" s="4"/>
      <c r="N256" s="4"/>
      <c r="O256" s="4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4"/>
      <c r="B257" s="4"/>
      <c r="C257" s="4"/>
      <c r="D257" s="4"/>
      <c r="E257" s="4"/>
      <c r="F257" s="4"/>
      <c r="G257" s="4"/>
      <c r="H257" s="4"/>
      <c r="I257" s="2">
        <f t="shared" si="5"/>
        <v>155</v>
      </c>
      <c r="J257" s="2">
        <v>90</v>
      </c>
      <c r="K257" s="4"/>
      <c r="L257" s="4"/>
      <c r="M257" s="4"/>
      <c r="N257" s="4"/>
      <c r="O257" s="4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4"/>
      <c r="B258" s="4"/>
      <c r="C258" s="4"/>
      <c r="D258" s="4"/>
      <c r="E258" s="4"/>
      <c r="F258" s="4"/>
      <c r="G258" s="4"/>
      <c r="H258" s="4"/>
      <c r="I258" s="2">
        <f t="shared" si="5"/>
        <v>160</v>
      </c>
      <c r="J258" s="2">
        <v>90</v>
      </c>
      <c r="K258" s="4"/>
      <c r="L258" s="4"/>
      <c r="M258" s="4"/>
      <c r="N258" s="4"/>
      <c r="O258" s="4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4"/>
      <c r="B259" s="4"/>
      <c r="C259" s="4"/>
      <c r="D259" s="4"/>
      <c r="E259" s="4"/>
      <c r="F259" s="4"/>
      <c r="G259" s="4"/>
      <c r="H259" s="4"/>
      <c r="I259" s="2">
        <f t="shared" si="5"/>
        <v>165</v>
      </c>
      <c r="J259" s="2">
        <v>90</v>
      </c>
      <c r="K259" s="4"/>
      <c r="L259" s="4"/>
      <c r="M259" s="4"/>
      <c r="N259" s="4"/>
      <c r="O259" s="4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4"/>
      <c r="B260" s="4"/>
      <c r="C260" s="4"/>
      <c r="D260" s="4"/>
      <c r="E260" s="4"/>
      <c r="F260" s="4"/>
      <c r="G260" s="4"/>
      <c r="H260" s="4"/>
      <c r="I260" s="2">
        <f t="shared" si="5"/>
        <v>170</v>
      </c>
      <c r="J260" s="2">
        <v>90</v>
      </c>
      <c r="K260" s="4"/>
      <c r="L260" s="4"/>
      <c r="M260" s="4"/>
      <c r="N260" s="4"/>
      <c r="O260" s="4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4"/>
      <c r="B261" s="4"/>
      <c r="C261" s="4"/>
      <c r="D261" s="4"/>
      <c r="E261" s="4"/>
      <c r="F261" s="4"/>
      <c r="G261" s="4"/>
      <c r="H261" s="4"/>
      <c r="I261" s="2">
        <f t="shared" si="5"/>
        <v>175</v>
      </c>
      <c r="J261" s="2">
        <v>90</v>
      </c>
      <c r="K261" s="4"/>
      <c r="L261" s="4"/>
      <c r="M261" s="4"/>
      <c r="N261" s="4"/>
      <c r="O261" s="4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4"/>
      <c r="B262" s="4"/>
      <c r="C262" s="4"/>
      <c r="D262" s="4"/>
      <c r="E262" s="4"/>
      <c r="F262" s="4"/>
      <c r="G262" s="4"/>
      <c r="H262" s="4"/>
      <c r="I262" s="2">
        <f t="shared" si="5"/>
        <v>180</v>
      </c>
      <c r="J262" s="2">
        <v>90</v>
      </c>
      <c r="K262" s="4"/>
      <c r="L262" s="4"/>
      <c r="M262" s="4"/>
      <c r="N262" s="4"/>
      <c r="O262" s="4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4"/>
      <c r="B263" s="4"/>
      <c r="C263" s="4"/>
      <c r="D263" s="4"/>
      <c r="E263" s="4"/>
      <c r="F263" s="4"/>
      <c r="G263" s="4"/>
      <c r="H263" s="4"/>
      <c r="I263" s="2">
        <f t="shared" si="5"/>
        <v>185</v>
      </c>
      <c r="J263" s="2">
        <v>90</v>
      </c>
      <c r="K263" s="4"/>
      <c r="L263" s="4"/>
      <c r="M263" s="4"/>
      <c r="N263" s="4"/>
      <c r="O263" s="4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4"/>
      <c r="B264" s="4"/>
      <c r="C264" s="4"/>
      <c r="D264" s="4"/>
      <c r="E264" s="4"/>
      <c r="F264" s="4"/>
      <c r="G264" s="4"/>
      <c r="H264" s="4"/>
      <c r="I264" s="2">
        <f t="shared" si="5"/>
        <v>190</v>
      </c>
      <c r="J264" s="2">
        <v>90</v>
      </c>
      <c r="K264" s="4"/>
      <c r="L264" s="4"/>
      <c r="M264" s="4"/>
      <c r="N264" s="4"/>
      <c r="O264" s="4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4"/>
      <c r="B265" s="4"/>
      <c r="C265" s="4"/>
      <c r="D265" s="4"/>
      <c r="E265" s="4"/>
      <c r="F265" s="4"/>
      <c r="G265" s="4"/>
      <c r="H265" s="4"/>
      <c r="I265" s="2">
        <f t="shared" si="5"/>
        <v>195</v>
      </c>
      <c r="J265" s="2">
        <v>90</v>
      </c>
      <c r="K265" s="4"/>
      <c r="L265" s="4"/>
      <c r="M265" s="4"/>
      <c r="N265" s="4"/>
      <c r="O265" s="4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4"/>
      <c r="B266" s="4"/>
      <c r="C266" s="4"/>
      <c r="D266" s="4"/>
      <c r="E266" s="4"/>
      <c r="F266" s="4"/>
      <c r="G266" s="4"/>
      <c r="H266" s="4"/>
      <c r="I266" s="2">
        <f t="shared" si="5"/>
        <v>200</v>
      </c>
      <c r="J266" s="2">
        <v>90</v>
      </c>
      <c r="K266" s="4"/>
      <c r="L266" s="4"/>
      <c r="M266" s="4"/>
      <c r="N266" s="4"/>
      <c r="O266" s="4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4"/>
      <c r="B267" s="4"/>
      <c r="C267" s="4"/>
      <c r="D267" s="4"/>
      <c r="E267" s="4"/>
      <c r="F267" s="4"/>
      <c r="G267" s="4"/>
      <c r="H267" s="4"/>
      <c r="I267" s="2">
        <f t="shared" si="5"/>
        <v>205</v>
      </c>
      <c r="J267" s="2">
        <v>90</v>
      </c>
      <c r="K267" s="4"/>
      <c r="L267" s="4"/>
      <c r="M267" s="4"/>
      <c r="N267" s="4"/>
      <c r="O267" s="4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4"/>
      <c r="B268" s="4"/>
      <c r="C268" s="4"/>
      <c r="D268" s="4"/>
      <c r="E268" s="4"/>
      <c r="F268" s="4"/>
      <c r="G268" s="4"/>
      <c r="H268" s="4"/>
      <c r="I268" s="2">
        <f t="shared" si="5"/>
        <v>210</v>
      </c>
      <c r="J268" s="2">
        <v>90</v>
      </c>
      <c r="K268" s="4"/>
      <c r="L268" s="4"/>
      <c r="M268" s="4"/>
      <c r="N268" s="4"/>
      <c r="O268" s="4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4"/>
      <c r="B269" s="4"/>
      <c r="C269" s="4"/>
      <c r="D269" s="4"/>
      <c r="E269" s="4"/>
      <c r="F269" s="4"/>
      <c r="G269" s="4"/>
      <c r="H269" s="4"/>
      <c r="I269" s="2">
        <f t="shared" si="5"/>
        <v>215</v>
      </c>
      <c r="J269" s="2">
        <v>90</v>
      </c>
      <c r="K269" s="4"/>
      <c r="L269" s="4"/>
      <c r="M269" s="4"/>
      <c r="N269" s="4"/>
      <c r="O269" s="4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4"/>
      <c r="B270" s="4"/>
      <c r="C270" s="4"/>
      <c r="D270" s="4"/>
      <c r="E270" s="4"/>
      <c r="F270" s="4"/>
      <c r="G270" s="4"/>
      <c r="H270" s="4"/>
      <c r="I270" s="2">
        <f t="shared" si="5"/>
        <v>220</v>
      </c>
      <c r="J270" s="2">
        <v>90</v>
      </c>
      <c r="K270" s="4"/>
      <c r="L270" s="4"/>
      <c r="M270" s="4"/>
      <c r="N270" s="4"/>
      <c r="O270" s="4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4"/>
      <c r="B271" s="4"/>
      <c r="C271" s="4"/>
      <c r="D271" s="4"/>
      <c r="E271" s="4"/>
      <c r="F271" s="4"/>
      <c r="G271" s="4"/>
      <c r="H271" s="4"/>
      <c r="I271" s="2">
        <f t="shared" si="5"/>
        <v>225</v>
      </c>
      <c r="J271" s="2">
        <v>90</v>
      </c>
      <c r="K271" s="4"/>
      <c r="L271" s="4"/>
      <c r="M271" s="4"/>
      <c r="N271" s="4"/>
      <c r="O271" s="4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4"/>
      <c r="B272" s="4"/>
      <c r="C272" s="4"/>
      <c r="D272" s="4"/>
      <c r="E272" s="4"/>
      <c r="F272" s="4"/>
      <c r="G272" s="4"/>
      <c r="H272" s="4"/>
      <c r="I272" s="2">
        <f t="shared" si="5"/>
        <v>230</v>
      </c>
      <c r="J272" s="2">
        <v>90</v>
      </c>
      <c r="K272" s="4"/>
      <c r="L272" s="4"/>
      <c r="M272" s="4"/>
      <c r="N272" s="4"/>
      <c r="O272" s="4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4"/>
      <c r="B273" s="4"/>
      <c r="C273" s="4"/>
      <c r="D273" s="4"/>
      <c r="E273" s="4"/>
      <c r="F273" s="4"/>
      <c r="G273" s="4"/>
      <c r="H273" s="4"/>
      <c r="I273" s="2">
        <f t="shared" si="5"/>
        <v>235</v>
      </c>
      <c r="J273" s="2">
        <v>90</v>
      </c>
      <c r="K273" s="4"/>
      <c r="L273" s="4"/>
      <c r="M273" s="4"/>
      <c r="N273" s="4"/>
      <c r="O273" s="4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4"/>
      <c r="B274" s="4"/>
      <c r="C274" s="4"/>
      <c r="D274" s="4"/>
      <c r="E274" s="4"/>
      <c r="F274" s="4"/>
      <c r="G274" s="4"/>
      <c r="H274" s="4"/>
      <c r="I274" s="2">
        <f t="shared" si="5"/>
        <v>240</v>
      </c>
      <c r="J274" s="2">
        <v>90</v>
      </c>
      <c r="K274" s="4"/>
      <c r="L274" s="4"/>
      <c r="M274" s="4"/>
      <c r="N274" s="4"/>
      <c r="O274" s="4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4"/>
      <c r="B275" s="4"/>
      <c r="C275" s="4"/>
      <c r="D275" s="4"/>
      <c r="E275" s="4"/>
      <c r="F275" s="4"/>
      <c r="G275" s="4"/>
      <c r="H275" s="4"/>
      <c r="I275" s="2">
        <f t="shared" si="5"/>
        <v>245</v>
      </c>
      <c r="J275" s="2">
        <v>90</v>
      </c>
      <c r="K275" s="4"/>
      <c r="L275" s="4"/>
      <c r="M275" s="4"/>
      <c r="N275" s="4"/>
      <c r="O275" s="4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4"/>
      <c r="B276" s="4"/>
      <c r="C276" s="4"/>
      <c r="D276" s="4"/>
      <c r="E276" s="4"/>
      <c r="F276" s="4"/>
      <c r="G276" s="4"/>
      <c r="H276" s="4"/>
      <c r="I276" s="2">
        <f t="shared" si="5"/>
        <v>250</v>
      </c>
      <c r="J276" s="2">
        <v>90</v>
      </c>
      <c r="K276" s="4"/>
      <c r="L276" s="4"/>
      <c r="M276" s="4"/>
      <c r="N276" s="4"/>
      <c r="O276" s="4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4"/>
      <c r="B277" s="4"/>
      <c r="C277" s="4"/>
      <c r="D277" s="4"/>
      <c r="E277" s="4"/>
      <c r="F277" s="4"/>
      <c r="G277" s="4"/>
      <c r="H277" s="4"/>
      <c r="I277" s="2">
        <f t="shared" si="5"/>
        <v>255</v>
      </c>
      <c r="J277" s="2">
        <v>90</v>
      </c>
      <c r="K277" s="4"/>
      <c r="L277" s="4"/>
      <c r="M277" s="4"/>
      <c r="N277" s="4"/>
      <c r="O277" s="4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4"/>
      <c r="B278" s="4"/>
      <c r="C278" s="4"/>
      <c r="D278" s="4"/>
      <c r="E278" s="4"/>
      <c r="F278" s="4"/>
      <c r="G278" s="4"/>
      <c r="H278" s="4"/>
      <c r="I278" s="2">
        <f t="shared" si="5"/>
        <v>260</v>
      </c>
      <c r="J278" s="2">
        <v>90</v>
      </c>
      <c r="K278" s="4"/>
      <c r="L278" s="4"/>
      <c r="M278" s="4"/>
      <c r="N278" s="4"/>
      <c r="O278" s="4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4"/>
      <c r="B279" s="4"/>
      <c r="C279" s="4"/>
      <c r="D279" s="4"/>
      <c r="E279" s="4"/>
      <c r="F279" s="4"/>
      <c r="G279" s="4"/>
      <c r="H279" s="4"/>
      <c r="I279" s="2">
        <f t="shared" si="5"/>
        <v>265</v>
      </c>
      <c r="J279" s="2">
        <v>90</v>
      </c>
      <c r="K279" s="4"/>
      <c r="L279" s="4"/>
      <c r="M279" s="4"/>
      <c r="N279" s="4"/>
      <c r="O279" s="4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4"/>
      <c r="B280" s="4"/>
      <c r="C280" s="4"/>
      <c r="D280" s="4"/>
      <c r="E280" s="4"/>
      <c r="F280" s="4"/>
      <c r="G280" s="4"/>
      <c r="H280" s="4"/>
      <c r="I280" s="2">
        <f t="shared" si="5"/>
        <v>270</v>
      </c>
      <c r="J280" s="2">
        <v>90</v>
      </c>
      <c r="K280" s="4"/>
      <c r="L280" s="4"/>
      <c r="M280" s="4"/>
      <c r="N280" s="4"/>
      <c r="O280" s="4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4"/>
      <c r="B281" s="4"/>
      <c r="C281" s="4"/>
      <c r="D281" s="4"/>
      <c r="E281" s="4"/>
      <c r="F281" s="4"/>
      <c r="G281" s="4"/>
      <c r="H281" s="4"/>
      <c r="I281" s="2">
        <f t="shared" si="5"/>
        <v>275</v>
      </c>
      <c r="J281" s="2">
        <v>90</v>
      </c>
      <c r="K281" s="4"/>
      <c r="L281" s="4"/>
      <c r="M281" s="4"/>
      <c r="N281" s="4"/>
      <c r="O281" s="4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4"/>
      <c r="B282" s="4"/>
      <c r="C282" s="4"/>
      <c r="D282" s="4"/>
      <c r="E282" s="4"/>
      <c r="F282" s="4"/>
      <c r="G282" s="4"/>
      <c r="H282" s="4"/>
      <c r="I282" s="2">
        <f t="shared" si="5"/>
        <v>280</v>
      </c>
      <c r="J282" s="2">
        <v>90</v>
      </c>
      <c r="K282" s="4"/>
      <c r="L282" s="4"/>
      <c r="M282" s="4"/>
      <c r="N282" s="4"/>
      <c r="O282" s="4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4"/>
      <c r="B283" s="4"/>
      <c r="C283" s="4"/>
      <c r="D283" s="4"/>
      <c r="E283" s="4"/>
      <c r="F283" s="4"/>
      <c r="G283" s="4"/>
      <c r="H283" s="4"/>
      <c r="I283" s="2">
        <f t="shared" si="5"/>
        <v>285</v>
      </c>
      <c r="J283" s="2">
        <v>90</v>
      </c>
      <c r="K283" s="4"/>
      <c r="L283" s="4"/>
      <c r="M283" s="4"/>
      <c r="N283" s="4"/>
      <c r="O283" s="4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4"/>
      <c r="B284" s="4"/>
      <c r="C284" s="4"/>
      <c r="D284" s="4"/>
      <c r="E284" s="4"/>
      <c r="F284" s="4"/>
      <c r="G284" s="4"/>
      <c r="H284" s="4"/>
      <c r="I284" s="2">
        <f t="shared" si="5"/>
        <v>290</v>
      </c>
      <c r="J284" s="2">
        <v>90</v>
      </c>
      <c r="K284" s="4"/>
      <c r="L284" s="4"/>
      <c r="M284" s="4"/>
      <c r="N284" s="4"/>
      <c r="O284" s="4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4"/>
      <c r="B285" s="4"/>
      <c r="C285" s="4"/>
      <c r="D285" s="4"/>
      <c r="E285" s="4"/>
      <c r="F285" s="4"/>
      <c r="G285" s="4"/>
      <c r="H285" s="4"/>
      <c r="I285" s="2">
        <f t="shared" si="5"/>
        <v>295</v>
      </c>
      <c r="J285" s="2">
        <v>90</v>
      </c>
      <c r="K285" s="4"/>
      <c r="L285" s="4"/>
      <c r="M285" s="4"/>
      <c r="N285" s="4"/>
      <c r="O285" s="4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4"/>
      <c r="B286" s="4"/>
      <c r="C286" s="4"/>
      <c r="D286" s="4"/>
      <c r="E286" s="4"/>
      <c r="F286" s="4"/>
      <c r="G286" s="4"/>
      <c r="H286" s="4"/>
      <c r="I286" s="2">
        <f t="shared" si="5"/>
        <v>300</v>
      </c>
      <c r="J286" s="2">
        <v>90</v>
      </c>
      <c r="K286" s="4"/>
      <c r="L286" s="4"/>
      <c r="M286" s="4"/>
      <c r="N286" s="4"/>
      <c r="O286" s="4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4"/>
      <c r="B287" s="4"/>
      <c r="C287" s="4"/>
      <c r="D287" s="4"/>
      <c r="E287" s="4"/>
      <c r="F287" s="4"/>
      <c r="G287" s="4"/>
      <c r="H287" s="4"/>
      <c r="I287" s="2">
        <f t="shared" si="5"/>
        <v>305</v>
      </c>
      <c r="J287" s="2">
        <v>90</v>
      </c>
      <c r="K287" s="4"/>
      <c r="L287" s="4"/>
      <c r="M287" s="4"/>
      <c r="N287" s="4"/>
      <c r="O287" s="4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4"/>
      <c r="B288" s="4"/>
      <c r="C288" s="4"/>
      <c r="D288" s="4"/>
      <c r="E288" s="4"/>
      <c r="F288" s="4"/>
      <c r="G288" s="4"/>
      <c r="H288" s="4"/>
      <c r="I288" s="2">
        <f t="shared" si="5"/>
        <v>310</v>
      </c>
      <c r="J288" s="2">
        <v>90</v>
      </c>
      <c r="K288" s="4"/>
      <c r="L288" s="4"/>
      <c r="M288" s="4"/>
      <c r="N288" s="4"/>
      <c r="O288" s="4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4"/>
      <c r="B289" s="4"/>
      <c r="C289" s="4"/>
      <c r="D289" s="4"/>
      <c r="E289" s="4"/>
      <c r="F289" s="4"/>
      <c r="G289" s="4"/>
      <c r="H289" s="4"/>
      <c r="I289" s="2">
        <f t="shared" si="5"/>
        <v>315</v>
      </c>
      <c r="J289" s="2">
        <v>90</v>
      </c>
      <c r="K289" s="4"/>
      <c r="L289" s="4"/>
      <c r="M289" s="4"/>
      <c r="N289" s="4"/>
      <c r="O289" s="4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4"/>
      <c r="B290" s="4"/>
      <c r="C290" s="4"/>
      <c r="D290" s="4"/>
      <c r="E290" s="4"/>
      <c r="F290" s="4"/>
      <c r="G290" s="4"/>
      <c r="H290" s="4"/>
      <c r="I290" s="2">
        <f t="shared" si="5"/>
        <v>320</v>
      </c>
      <c r="J290" s="2">
        <v>90</v>
      </c>
      <c r="K290" s="4"/>
      <c r="L290" s="4"/>
      <c r="M290" s="4"/>
      <c r="N290" s="4"/>
      <c r="O290" s="4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4"/>
      <c r="B291" s="4"/>
      <c r="C291" s="4"/>
      <c r="D291" s="4"/>
      <c r="E291" s="4"/>
      <c r="F291" s="4"/>
      <c r="G291" s="4"/>
      <c r="H291" s="4"/>
      <c r="I291" s="2">
        <f t="shared" si="5"/>
        <v>325</v>
      </c>
      <c r="J291" s="2">
        <v>90</v>
      </c>
      <c r="K291" s="4"/>
      <c r="L291" s="4"/>
      <c r="M291" s="4"/>
      <c r="N291" s="4"/>
      <c r="O291" s="4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4"/>
      <c r="B292" s="4"/>
      <c r="C292" s="4"/>
      <c r="D292" s="4"/>
      <c r="E292" s="4"/>
      <c r="F292" s="4"/>
      <c r="G292" s="4"/>
      <c r="H292" s="4"/>
      <c r="I292" s="2">
        <f t="shared" si="5"/>
        <v>330</v>
      </c>
      <c r="J292" s="2">
        <v>90</v>
      </c>
      <c r="K292" s="4"/>
      <c r="L292" s="4"/>
      <c r="M292" s="4"/>
      <c r="N292" s="4"/>
      <c r="O292" s="4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4"/>
      <c r="B293" s="4"/>
      <c r="C293" s="4"/>
      <c r="D293" s="4"/>
      <c r="E293" s="4"/>
      <c r="F293" s="4"/>
      <c r="G293" s="4"/>
      <c r="H293" s="4"/>
      <c r="I293" s="2">
        <f t="shared" si="5"/>
        <v>335</v>
      </c>
      <c r="J293" s="2">
        <v>90</v>
      </c>
      <c r="K293" s="4"/>
      <c r="L293" s="4"/>
      <c r="M293" s="4"/>
      <c r="N293" s="4"/>
      <c r="O293" s="4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4"/>
      <c r="B294" s="4"/>
      <c r="C294" s="4"/>
      <c r="D294" s="4"/>
      <c r="E294" s="4"/>
      <c r="F294" s="4"/>
      <c r="G294" s="4"/>
      <c r="H294" s="4"/>
      <c r="I294" s="2">
        <f t="shared" si="5"/>
        <v>340</v>
      </c>
      <c r="J294" s="2">
        <v>90</v>
      </c>
      <c r="K294" s="4"/>
      <c r="L294" s="4"/>
      <c r="M294" s="4"/>
      <c r="N294" s="4"/>
      <c r="O294" s="4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4"/>
      <c r="B295" s="4"/>
      <c r="C295" s="4"/>
      <c r="D295" s="4"/>
      <c r="E295" s="4"/>
      <c r="F295" s="4"/>
      <c r="G295" s="4"/>
      <c r="H295" s="4"/>
      <c r="I295" s="2">
        <f t="shared" si="5"/>
        <v>345</v>
      </c>
      <c r="J295" s="2">
        <v>90</v>
      </c>
      <c r="K295" s="4"/>
      <c r="L295" s="4"/>
      <c r="M295" s="4"/>
      <c r="N295" s="4"/>
      <c r="O295" s="4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4"/>
      <c r="B296" s="4"/>
      <c r="C296" s="4"/>
      <c r="D296" s="4"/>
      <c r="E296" s="4"/>
      <c r="F296" s="4"/>
      <c r="G296" s="4"/>
      <c r="H296" s="4"/>
      <c r="I296" s="2">
        <f t="shared" si="5"/>
        <v>350</v>
      </c>
      <c r="J296" s="2">
        <v>90</v>
      </c>
      <c r="K296" s="4"/>
      <c r="L296" s="4"/>
      <c r="M296" s="4"/>
      <c r="N296" s="4"/>
      <c r="O296" s="4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4"/>
      <c r="B297" s="4"/>
      <c r="C297" s="4"/>
      <c r="D297" s="4"/>
      <c r="E297" s="4"/>
      <c r="F297" s="4"/>
      <c r="G297" s="4"/>
      <c r="H297" s="4"/>
      <c r="I297" s="2">
        <f t="shared" si="5"/>
        <v>355</v>
      </c>
      <c r="J297" s="2">
        <v>90</v>
      </c>
      <c r="K297" s="4"/>
      <c r="L297" s="4"/>
      <c r="M297" s="4"/>
      <c r="N297" s="4"/>
      <c r="O297" s="4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4"/>
      <c r="B298" s="4"/>
      <c r="C298" s="4"/>
      <c r="D298" s="4"/>
      <c r="E298" s="4"/>
      <c r="F298" s="4"/>
      <c r="G298" s="4"/>
      <c r="H298" s="4"/>
      <c r="I298" s="2">
        <f t="shared" si="5"/>
        <v>360</v>
      </c>
      <c r="J298" s="2">
        <v>90</v>
      </c>
      <c r="K298" s="4"/>
      <c r="L298" s="4"/>
      <c r="M298" s="4"/>
      <c r="N298" s="4"/>
      <c r="O298" s="4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7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7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7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7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7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7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7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7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7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7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7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7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7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</sheetData>
  <mergeCells count="78">
    <mergeCell ref="N80:N152"/>
    <mergeCell ref="O80:O152"/>
    <mergeCell ref="A80:A152"/>
    <mergeCell ref="B80:B152"/>
    <mergeCell ref="C80:C152"/>
    <mergeCell ref="D80:D152"/>
    <mergeCell ref="E80:E152"/>
    <mergeCell ref="F80:F152"/>
    <mergeCell ref="G80:G152"/>
    <mergeCell ref="H80:H152"/>
    <mergeCell ref="K80:K152"/>
    <mergeCell ref="L80:L152"/>
    <mergeCell ref="M80:M152"/>
    <mergeCell ref="N153:N225"/>
    <mergeCell ref="O153:O225"/>
    <mergeCell ref="A153:A225"/>
    <mergeCell ref="B153:B225"/>
    <mergeCell ref="C153:C225"/>
    <mergeCell ref="D153:D225"/>
    <mergeCell ref="E153:E225"/>
    <mergeCell ref="F153:F225"/>
    <mergeCell ref="G153:G225"/>
    <mergeCell ref="H153:H225"/>
    <mergeCell ref="K153:K225"/>
    <mergeCell ref="L153:L225"/>
    <mergeCell ref="M153:M225"/>
    <mergeCell ref="N2:N27"/>
    <mergeCell ref="O2:O27"/>
    <mergeCell ref="A2:A27"/>
    <mergeCell ref="B2:B27"/>
    <mergeCell ref="C2:C27"/>
    <mergeCell ref="D2:D27"/>
    <mergeCell ref="E2:E27"/>
    <mergeCell ref="F2:F27"/>
    <mergeCell ref="G2:G27"/>
    <mergeCell ref="H2:H27"/>
    <mergeCell ref="K2:K27"/>
    <mergeCell ref="L2:L27"/>
    <mergeCell ref="M2:M27"/>
    <mergeCell ref="N28:N53"/>
    <mergeCell ref="O28:O53"/>
    <mergeCell ref="A28:A53"/>
    <mergeCell ref="B28:B53"/>
    <mergeCell ref="C28:C53"/>
    <mergeCell ref="D28:D53"/>
    <mergeCell ref="E28:E53"/>
    <mergeCell ref="F28:F53"/>
    <mergeCell ref="G28:G53"/>
    <mergeCell ref="H28:H53"/>
    <mergeCell ref="K28:K53"/>
    <mergeCell ref="L28:L53"/>
    <mergeCell ref="M28:M53"/>
    <mergeCell ref="N54:N79"/>
    <mergeCell ref="O54:O79"/>
    <mergeCell ref="A54:A79"/>
    <mergeCell ref="B54:B79"/>
    <mergeCell ref="C54:C79"/>
    <mergeCell ref="D54:D79"/>
    <mergeCell ref="E54:E79"/>
    <mergeCell ref="F54:F79"/>
    <mergeCell ref="G54:G79"/>
    <mergeCell ref="H54:H79"/>
    <mergeCell ref="K54:K79"/>
    <mergeCell ref="L54:L79"/>
    <mergeCell ref="M54:M79"/>
    <mergeCell ref="N226:N298"/>
    <mergeCell ref="O226:O298"/>
    <mergeCell ref="A226:A298"/>
    <mergeCell ref="B226:B298"/>
    <mergeCell ref="C226:C298"/>
    <mergeCell ref="D226:D298"/>
    <mergeCell ref="E226:E298"/>
    <mergeCell ref="F226:F298"/>
    <mergeCell ref="G226:G298"/>
    <mergeCell ref="H226:H298"/>
    <mergeCell ref="K226:K298"/>
    <mergeCell ref="L226:L298"/>
    <mergeCell ref="M226:M2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Utkarsh</cp:lastModifiedBy>
  <dcterms:modified xsi:type="dcterms:W3CDTF">2026-04-13T13:35:32Z</dcterms:modified>
</cp:coreProperties>
</file>